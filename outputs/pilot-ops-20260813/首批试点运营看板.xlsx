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bd12a34e9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3f9a87498b54002"/>
    <x:sheet xmlns:r="http://schemas.openxmlformats.org/officeDocument/2006/relationships" name="学员台账" sheetId="2" r:id="R5a188ae4a7c2401c"/>
    <x:sheet xmlns:r="http://schemas.openxmlformats.org/officeDocument/2006/relationships" name="周度记录" sheetId="3" r:id="R6560ed12d85e4e28"/>
    <x:sheet xmlns:r="http://schemas.openxmlformats.org/officeDocument/2006/relationships" name="访谈记录" sheetId="4" r:id="Rce61dd5e36b84377"/>
    <x:sheet xmlns:r="http://schemas.openxmlformats.org/officeDocument/2006/relationships" name="口径与设置" sheetId="5" r:id="R5bbada93f59a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"/>
    <x:numFmt numFmtId="203" formatCode="0.0"/>
  </x:numFmts>
  <x:fonts count="9">
    <x:font>
      <x:sz val="11"/>
      <x:name val="Carlito"/>
    </x:font>
    <x:font>
      <x:b/>
      <x:sz val="22"/>
      <x:color rgb="FFFFFFFF"/>
      <x:name val="Carlito"/>
    </x:font>
    <x:font>
      <x:sz val="10"/>
      <x:color rgb="FF13254A"/>
      <x:name val="Carlito"/>
    </x:font>
    <x:font>
      <x:b/>
      <x:sz val="10"/>
      <x:color rgb="FFFFFFFF"/>
      <x:name val="Carlito"/>
    </x:font>
    <x:font>
      <x:b/>
      <x:sz val="11"/>
      <x:color rgb="FF182033"/>
      <x:name val="Carlito"/>
    </x:font>
    <x:font>
      <x:sz val="11"/>
      <x:color rgb="FF182033"/>
      <x:name val="Carlito"/>
    </x:font>
    <x:font>
      <x:b/>
      <x:sz val="11"/>
      <x:color rgb="FF13254A"/>
      <x:name val="Carlito"/>
    </x:font>
    <x:font>
      <x:b/>
      <x:sz val="23"/>
      <x:color rgb="FF13254A"/>
      <x:name val="Carlito"/>
    </x:font>
    <x:font>
      <x:b/>
      <x:sz val="12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3254A"/>
      </x:patternFill>
    </x:fill>
    <x:fill>
      <x:patternFill patternType="solid">
        <x:fgColor rgb="FFEAF0FF"/>
      </x:patternFill>
    </x:fill>
    <x:fill>
      <x:patternFill patternType="solid">
        <x:fgColor rgb="FF2F4BE8"/>
      </x:patternFill>
    </x:fill>
    <x:fill>
      <x:patternFill patternType="solid">
        <x:fgColor rgb="FFF6F8FC"/>
      </x:patternFill>
    </x:fill>
    <x:fill>
      <x:patternFill patternType="solid">
        <x:fgColor rgb="FFFFF6DA"/>
      </x:patternFill>
    </x:fill>
    <x:fill>
      <x:patternFill patternType="solid">
        <x:fgColor rgb="FFFFFFFF"/>
      </x:patternFill>
    </x:fill>
    <x:fill>
      <x:patternFill patternType="solid">
        <x:fgColor rgb="FF168C76"/>
      </x:patternFill>
    </x:fill>
    <x:fill>
      <x:patternFill patternType="solid">
        <x:fgColor rgb="FFE8654A"/>
      </x:patternFill>
    </x:fill>
    <x:fill>
      <x:patternFill patternType="solid">
        <x:fgColor rgb="FFF5B942"/>
      </x:patternFill>
    </x:fill>
  </x:fills>
  <x:borders count="32">
    <x:border/>
    <x:border>
      <x:right style="thin">
        <x:color rgb="FF6F80EE"/>
      </x:right>
    </x:border>
    <x:border>
      <x:left style="thin">
        <x:color rgb="FF6F80EE"/>
      </x:left>
    </x:border>
    <x:border>
      <x:left style="thin">
        <x:color rgb="FFF5B942"/>
      </x:left>
      <x:right style="thin">
        <x:color rgb="FFF5B942"/>
      </x:right>
      <x:top style="thin">
        <x:color rgb="FFF5B942"/>
      </x:top>
    </x:border>
    <x:border>
      <x:left style="thin">
        <x:color rgb="FFF5B942"/>
      </x:left>
      <x:right style="thin">
        <x:color rgb="FFF5B942"/>
      </x:right>
    </x:border>
    <x:border>
      <x:left style="thin">
        <x:color rgb="FFF5B942"/>
      </x:left>
      <x:right style="thin">
        <x:color rgb="FFF5B942"/>
      </x:right>
      <x:bottom style="thin">
        <x:color rgb="FFF5B942"/>
      </x:bottom>
    </x:border>
    <x:border>
      <x:left style="thin">
        <x:color rgb="FF6F80EE"/>
      </x:left>
      <x:right style="thin">
        <x:color rgb="FF6F80EE"/>
      </x:right>
    </x:border>
    <x:border>
      <x:right style="thin">
        <x:color rgb="FFDCE2EE"/>
      </x:right>
      <x:bottom style="thin">
        <x:color rgb="FFDCE2EE"/>
      </x:bottom>
    </x:border>
    <x:border>
      <x:left style="thin">
        <x:color rgb="FFDCE2EE"/>
      </x:left>
      <x:right style="thin">
        <x:color rgb="FFDCE2EE"/>
      </x:right>
      <x:bottom style="thin">
        <x:color rgb="FFDCE2EE"/>
      </x:bottom>
    </x:border>
    <x:border>
      <x:left style="thin">
        <x:color rgb="FFDCE2EE"/>
      </x:left>
      <x:bottom style="thin">
        <x:color rgb="FFDCE2EE"/>
      </x:bottom>
    </x:border>
    <x:border>
      <x:right style="thin">
        <x:color rgb="FFDCE2EE"/>
      </x:right>
      <x:top style="thin">
        <x:color rgb="FFDCE2EE"/>
      </x:top>
      <x:bottom style="thin">
        <x:color rgb="FFDCE2EE"/>
      </x:bottom>
    </x:border>
    <x:border>
      <x:left style="thin">
        <x:color rgb="FFDCE2EE"/>
      </x:left>
      <x:right style="thin">
        <x:color rgb="FFDCE2EE"/>
      </x:right>
      <x:top style="thin">
        <x:color rgb="FFDCE2EE"/>
      </x:top>
      <x:bottom style="thin">
        <x:color rgb="FFDCE2EE"/>
      </x:bottom>
    </x:border>
    <x:border>
      <x:left style="thin">
        <x:color rgb="FFDCE2EE"/>
      </x:left>
      <x:top style="thin">
        <x:color rgb="FFDCE2EE"/>
      </x:top>
      <x:bottom style="thin">
        <x:color rgb="FFDCE2EE"/>
      </x:bottom>
    </x:border>
    <x:border>
      <x:right style="thin">
        <x:color rgb="FFDCE2EE"/>
      </x:right>
      <x:top style="thin">
        <x:color rgb="FFDCE2EE"/>
      </x:top>
    </x:border>
    <x:border>
      <x:left style="thin">
        <x:color rgb="FFDCE2EE"/>
      </x:left>
      <x:right style="thin">
        <x:color rgb="FFDCE2EE"/>
      </x:right>
      <x:top style="thin">
        <x:color rgb="FFDCE2EE"/>
      </x:top>
    </x:border>
    <x:border>
      <x:left style="thin">
        <x:color rgb="FFDCE2EE"/>
      </x:left>
      <x:top style="thin">
        <x:color rgb="FFDCE2EE"/>
      </x:top>
    </x:border>
    <x:border>
      <x:left style="thin">
        <x:color rgb="FF2F4BE8"/>
      </x:left>
      <x:top style="thin">
        <x:color rgb="FF2F4BE8"/>
      </x:top>
    </x:border>
    <x:border>
      <x:right style="thin">
        <x:color rgb="FF2F4BE8"/>
      </x:right>
      <x:top style="thin">
        <x:color rgb="FF2F4BE8"/>
      </x:top>
    </x:border>
    <x:border>
      <x:left style="thin">
        <x:color rgb="FF2F4BE8"/>
      </x:left>
      <x:bottom style="thin">
        <x:color rgb="FF2F4BE8"/>
      </x:bottom>
    </x:border>
    <x:border>
      <x:right style="thin">
        <x:color rgb="FF2F4BE8"/>
      </x:right>
      <x:bottom style="thin">
        <x:color rgb="FF2F4BE8"/>
      </x:bottom>
    </x:border>
    <x:border>
      <x:left style="thin">
        <x:color rgb="FF168C76"/>
      </x:left>
      <x:top style="thin">
        <x:color rgb="FF168C76"/>
      </x:top>
    </x:border>
    <x:border>
      <x:right style="thin">
        <x:color rgb="FF168C76"/>
      </x:right>
      <x:top style="thin">
        <x:color rgb="FF168C76"/>
      </x:top>
    </x:border>
    <x:border>
      <x:left style="thin">
        <x:color rgb="FF168C76"/>
      </x:left>
      <x:bottom style="thin">
        <x:color rgb="FF168C76"/>
      </x:bottom>
    </x:border>
    <x:border>
      <x:right style="thin">
        <x:color rgb="FF168C76"/>
      </x:right>
      <x:bottom style="thin">
        <x:color rgb="FF168C76"/>
      </x:bottom>
    </x:border>
    <x:border>
      <x:left style="thin">
        <x:color rgb="FFE8654A"/>
      </x:left>
      <x:top style="thin">
        <x:color rgb="FFE8654A"/>
      </x:top>
    </x:border>
    <x:border>
      <x:right style="thin">
        <x:color rgb="FFE8654A"/>
      </x:right>
      <x:top style="thin">
        <x:color rgb="FFE8654A"/>
      </x:top>
    </x:border>
    <x:border>
      <x:left style="thin">
        <x:color rgb="FFE8654A"/>
      </x:left>
      <x:bottom style="thin">
        <x:color rgb="FFE8654A"/>
      </x:bottom>
    </x:border>
    <x:border>
      <x:right style="thin">
        <x:color rgb="FFE8654A"/>
      </x:right>
      <x:bottom style="thin">
        <x:color rgb="FFE8654A"/>
      </x:bottom>
    </x:border>
    <x:border>
      <x:left style="thin">
        <x:color rgb="FFF5B942"/>
      </x:left>
      <x:top style="thin">
        <x:color rgb="FFF5B942"/>
      </x:top>
    </x:border>
    <x:border>
      <x:right style="thin">
        <x:color rgb="FFF5B942"/>
      </x:right>
      <x:top style="thin">
        <x:color rgb="FFF5B942"/>
      </x:top>
    </x:border>
    <x:border>
      <x:left style="thin">
        <x:color rgb="FFF5B942"/>
      </x:left>
      <x:bottom style="thin">
        <x:color rgb="FFF5B942"/>
      </x:bottom>
    </x:border>
    <x:border>
      <x:right style="thin">
        <x:color rgb="FFF5B942"/>
      </x:right>
      <x:bottom style="thin">
        <x:color rgb="FFF5B942"/>
      </x:bottom>
    </x:border>
  </x:borders>
  <x:cellStyleXfs count="1">
    <x:xf numFmtId="0" fontId="0" fillId="0" borderId="0"/>
  </x:cellStyleXfs>
  <x:cellXfs count="2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200" fontId="5" fillId="6" borderId="4" xfId="0" applyNumberFormat="1" applyFont="1" applyFill="1" applyBorder="1"/>
    <x:xf numFmtId="201" fontId="5" fillId="6" borderId="4" xfId="0" applyNumberFormat="1" applyFont="1" applyFill="1" applyBorder="1"/>
    <x:xf numFmtId="0" fontId="6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2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2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2" fontId="0" fillId="0" borderId="14" xfId="0" applyNumberFormat="1" applyFont="1" applyFill="1" applyBorder="1"/>
    <x:xf numFmtId="201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2" fontId="0" fillId="0" borderId="14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2" fontId="0" fillId="0" borderId="8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2" fontId="0" fillId="0" borderId="11" xfId="0" applyNumberFormat="1" applyFont="1" applyFill="1" applyBorder="1" applyAlignment="1">
      <x:alignment vertical="center" wrapText="1"/>
    </x:xf>
    <x:xf numFmtId="201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horizontal="center" vertical="center" wrapText="1"/>
    </x:xf>
    <x:xf numFmtId="0" fontId="0" fillId="5" borderId="8" xfId="0" applyNumberFormat="1" applyFont="1" applyFill="1" applyBorder="1" applyAlignment="1">
      <x:alignment horizontal="center" vertical="center" wrapText="1"/>
    </x:xf>
    <x:xf numFmtId="0" fontId="0" fillId="5" borderId="10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horizontal="center" vertical="center" wrapText="1"/>
    </x:xf>
    <x:xf numFmtId="0" fontId="0" fillId="5" borderId="13" xfId="0" applyNumberFormat="1" applyFont="1" applyFill="1" applyBorder="1" applyAlignment="1">
      <x:alignment horizontal="center" vertical="center" wrapText="1"/>
    </x:xf>
    <x:xf numFmtId="0" fontId="0" fillId="5" borderId="14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16" xfId="0" applyNumberFormat="1" applyFont="1" applyFill="1" applyBorder="1" applyAlignment="1">
      <x:alignment horizontal="center"/>
    </x:xf>
    <x:xf numFmtId="0" fontId="7" fillId="7" borderId="17" xfId="0" applyNumberFormat="1" applyFont="1" applyFill="1" applyBorder="1" applyAlignment="1">
      <x:alignment horizontal="center"/>
    </x:xf>
    <x:xf numFmtId="0" fontId="7" fillId="7" borderId="18" xfId="0" applyNumberFormat="1" applyFont="1" applyFill="1" applyBorder="1" applyAlignment="1">
      <x:alignment horizontal="center"/>
    </x:xf>
    <x:xf numFmtId="0" fontId="7" fillId="7" borderId="19" xfId="0" applyNumberFormat="1" applyFont="1" applyFill="1" applyBorder="1" applyAlignment="1">
      <x:alignment horizontal="center"/>
    </x:xf>
    <x:xf numFmtId="0" fontId="7" fillId="7" borderId="16" xfId="0" applyNumberFormat="1" applyFont="1" applyFill="1" applyBorder="1" applyAlignment="1">
      <x:alignment horizontal="center" vertical="center"/>
    </x:xf>
    <x:xf numFmtId="0" fontId="7" fillId="7" borderId="17" xfId="0" applyNumberFormat="1" applyFont="1" applyFill="1" applyBorder="1" applyAlignment="1">
      <x:alignment horizontal="center" vertical="center"/>
    </x:xf>
    <x:xf numFmtId="0" fontId="7" fillId="7" borderId="18" xfId="0" applyNumberFormat="1" applyFont="1" applyFill="1" applyBorder="1" applyAlignment="1">
      <x:alignment horizontal="center" vertical="center"/>
    </x:xf>
    <x:xf numFmtId="0" fontId="7" fillId="7" borderId="19" xfId="0" applyNumberFormat="1" applyFont="1" applyFill="1" applyBorder="1" applyAlignment="1">
      <x:alignment horizontal="center" vertical="center"/>
    </x:xf>
    <x:xf numFmtId="202" fontId="7" fillId="7" borderId="16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7" fillId="7" borderId="20" xfId="0" applyNumberFormat="1" applyFont="1" applyFill="1" applyBorder="1" applyAlignment="1">
      <x:alignment horizontal="center"/>
    </x:xf>
    <x:xf numFmtId="0" fontId="7" fillId="7" borderId="21" xfId="0" applyNumberFormat="1" applyFont="1" applyFill="1" applyBorder="1" applyAlignment="1">
      <x:alignment horizontal="center"/>
    </x:xf>
    <x:xf numFmtId="0" fontId="7" fillId="7" borderId="22" xfId="0" applyNumberFormat="1" applyFont="1" applyFill="1" applyBorder="1" applyAlignment="1">
      <x:alignment horizontal="center"/>
    </x:xf>
    <x:xf numFmtId="0" fontId="7" fillId="7" borderId="23" xfId="0" applyNumberFormat="1" applyFont="1" applyFill="1" applyBorder="1" applyAlignment="1">
      <x:alignment horizontal="center"/>
    </x:xf>
    <x:xf numFmtId="0" fontId="7" fillId="7" borderId="20" xfId="0" applyNumberFormat="1" applyFont="1" applyFill="1" applyBorder="1" applyAlignment="1">
      <x:alignment horizontal="center" vertical="center"/>
    </x:xf>
    <x:xf numFmtId="0" fontId="7" fillId="7" borderId="21" xfId="0" applyNumberFormat="1" applyFont="1" applyFill="1" applyBorder="1" applyAlignment="1">
      <x:alignment horizontal="center" vertical="center"/>
    </x:xf>
    <x:xf numFmtId="0" fontId="7" fillId="7" borderId="22" xfId="0" applyNumberFormat="1" applyFont="1" applyFill="1" applyBorder="1" applyAlignment="1">
      <x:alignment horizontal="center" vertical="center"/>
    </x:xf>
    <x:xf numFmtId="0" fontId="7" fillId="7" borderId="23" xfId="0" applyNumberFormat="1" applyFont="1" applyFill="1" applyBorder="1" applyAlignment="1">
      <x:alignment horizontal="center" vertical="center"/>
    </x:xf>
    <x:xf numFmtId="202" fontId="7" fillId="7" borderId="2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7" fillId="7" borderId="24" xfId="0" applyNumberFormat="1" applyFont="1" applyFill="1" applyBorder="1"/>
    <x:xf numFmtId="0" fontId="7" fillId="7" borderId="25" xfId="0" applyNumberFormat="1" applyFont="1" applyFill="1" applyBorder="1"/>
    <x:xf numFmtId="0" fontId="7" fillId="7" borderId="26" xfId="0" applyNumberFormat="1" applyFont="1" applyFill="1" applyBorder="1"/>
    <x:xf numFmtId="0" fontId="7" fillId="7" borderId="27" xfId="0" applyNumberFormat="1" applyFont="1" applyFill="1" applyBorder="1"/>
    <x:xf numFmtId="0" fontId="7" fillId="7" borderId="24" xfId="0" applyNumberFormat="1" applyFont="1" applyFill="1" applyBorder="1" applyAlignment="1">
      <x:alignment horizontal="center"/>
    </x:xf>
    <x:xf numFmtId="0" fontId="7" fillId="7" borderId="25" xfId="0" applyNumberFormat="1" applyFont="1" applyFill="1" applyBorder="1" applyAlignment="1">
      <x:alignment horizontal="center"/>
    </x:xf>
    <x:xf numFmtId="0" fontId="7" fillId="7" borderId="26" xfId="0" applyNumberFormat="1" applyFont="1" applyFill="1" applyBorder="1" applyAlignment="1">
      <x:alignment horizontal="center"/>
    </x:xf>
    <x:xf numFmtId="0" fontId="7" fillId="7" borderId="27" xfId="0" applyNumberFormat="1" applyFont="1" applyFill="1" applyBorder="1" applyAlignment="1">
      <x:alignment horizontal="center"/>
    </x:xf>
    <x:xf numFmtId="0" fontId="7" fillId="7" borderId="24" xfId="0" applyNumberFormat="1" applyFont="1" applyFill="1" applyBorder="1" applyAlignment="1">
      <x:alignment horizontal="center" vertical="center"/>
    </x:xf>
    <x:xf numFmtId="0" fontId="7" fillId="7" borderId="25" xfId="0" applyNumberFormat="1" applyFont="1" applyFill="1" applyBorder="1" applyAlignment="1">
      <x:alignment horizontal="center" vertical="center"/>
    </x:xf>
    <x:xf numFmtId="0" fontId="7" fillId="7" borderId="26" xfId="0" applyNumberFormat="1" applyFont="1" applyFill="1" applyBorder="1" applyAlignment="1">
      <x:alignment horizontal="center" vertical="center"/>
    </x:xf>
    <x:xf numFmtId="0" fontId="7" fillId="7" borderId="27" xfId="0" applyNumberFormat="1" applyFont="1" applyFill="1" applyBorder="1" applyAlignment="1">
      <x:alignment horizontal="center" vertical="center"/>
    </x:xf>
    <x:xf numFmtId="202" fontId="7" fillId="7" borderId="24" xfId="0" applyNumberFormat="1" applyFont="1" applyFill="1" applyBorder="1" applyAlignment="1">
      <x:alignment horizontal="center" vertical="center"/>
    </x:xf>
    <x:xf numFmtId="201" fontId="7" fillId="7" borderId="16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7" fillId="7" borderId="28" xfId="0" applyNumberFormat="1" applyFont="1" applyFill="1" applyBorder="1"/>
    <x:xf numFmtId="0" fontId="7" fillId="7" borderId="29" xfId="0" applyNumberFormat="1" applyFont="1" applyFill="1" applyBorder="1"/>
    <x:xf numFmtId="0" fontId="7" fillId="7" borderId="30" xfId="0" applyNumberFormat="1" applyFont="1" applyFill="1" applyBorder="1"/>
    <x:xf numFmtId="0" fontId="7" fillId="7" borderId="31" xfId="0" applyNumberFormat="1" applyFont="1" applyFill="1" applyBorder="1"/>
    <x:xf numFmtId="0" fontId="7" fillId="7" borderId="28" xfId="0" applyNumberFormat="1" applyFont="1" applyFill="1" applyBorder="1" applyAlignment="1">
      <x:alignment horizontal="center"/>
    </x:xf>
    <x:xf numFmtId="0" fontId="7" fillId="7" borderId="29" xfId="0" applyNumberFormat="1" applyFont="1" applyFill="1" applyBorder="1" applyAlignment="1">
      <x:alignment horizontal="center"/>
    </x:xf>
    <x:xf numFmtId="0" fontId="7" fillId="7" borderId="30" xfId="0" applyNumberFormat="1" applyFont="1" applyFill="1" applyBorder="1" applyAlignment="1">
      <x:alignment horizontal="center"/>
    </x:xf>
    <x:xf numFmtId="0" fontId="7" fillId="7" borderId="31" xfId="0" applyNumberFormat="1" applyFont="1" applyFill="1" applyBorder="1" applyAlignment="1">
      <x:alignment horizontal="center"/>
    </x:xf>
    <x:xf numFmtId="0" fontId="7" fillId="7" borderId="28" xfId="0" applyNumberFormat="1" applyFont="1" applyFill="1" applyBorder="1" applyAlignment="1">
      <x:alignment horizontal="center" vertical="center"/>
    </x:xf>
    <x:xf numFmtId="0" fontId="7" fillId="7" borderId="29" xfId="0" applyNumberFormat="1" applyFont="1" applyFill="1" applyBorder="1" applyAlignment="1">
      <x:alignment horizontal="center" vertical="center"/>
    </x:xf>
    <x:xf numFmtId="0" fontId="7" fillId="7" borderId="30" xfId="0" applyNumberFormat="1" applyFont="1" applyFill="1" applyBorder="1" applyAlignment="1">
      <x:alignment horizontal="center" vertical="center"/>
    </x:xf>
    <x:xf numFmtId="0" fontId="7" fillId="7" borderId="31" xfId="0" applyNumberFormat="1" applyFont="1" applyFill="1" applyBorder="1" applyAlignment="1">
      <x:alignment horizontal="center" vertical="center"/>
    </x:xf>
    <x:xf numFmtId="203" fontId="7" fillId="7" borderId="28" xfId="0" applyNumberFormat="1" applyFont="1" applyFill="1" applyBorder="1" applyAlignment="1">
      <x:alignment horizontal="center" vertical="center"/>
    </x:xf>
    <x:xf numFmtId="201" fontId="7" fillId="7" borderId="2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/>
    </x:xf>
    <x:xf numFmtId="0" fontId="0" fillId="5" borderId="13" xfId="0" applyNumberFormat="1" applyFont="1" applyFill="1" applyBorder="1" applyAlignment="1">
      <x:alignment horizontal="center"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C84444"/>
      </x:font>
      <x:fill>
        <x:patternFill patternType="solid">
          <x:bgColor rgb="FFFCECEC"/>
        </x:patternFill>
      </x:fill>
    </x:dxf>
    <x:dxf>
      <x:font>
        <x:b/>
        <x:color rgb="FF9A6600"/>
      </x:font>
      <x:fill>
        <x:patternFill patternType="solid">
          <x:bgColor rgb="FFFFF6DA"/>
        </x:patternFill>
      </x:fill>
    </x:dxf>
    <x:dxf>
      <x:font>
        <x:b/>
        <x:color rgb="FF168C76"/>
      </x:font>
      <x:fill>
        <x:patternFill patternType="solid">
          <x:bgColor rgb="FFE8F6F2"/>
        </x:patternFill>
      </x:fill>
    </x:dxf>
    <x:dxf>
      <x:font>
        <x:b/>
        <x:color rgb="FF168C76"/>
      </x:font>
      <x:fill>
        <x:patternFill patternType="solid">
          <x:bgColor rgb="FFE8F6F2"/>
        </x:patternFill>
      </x:fill>
    </x:dxf>
    <x:dxf>
      <x:font>
        <x:b/>
        <x:color rgb="FFC84444"/>
      </x:font>
      <x:fill>
        <x:patternFill patternType="solid">
          <x:bgColor rgb="FFF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4ae8d055c4dc6" /><Relationship Type="http://schemas.openxmlformats.org/officeDocument/2006/relationships/theme" Target="/xl/theme/theme1.xml" Id="Rb42c825722c843a0" /><Relationship Type="http://schemas.openxmlformats.org/officeDocument/2006/relationships/sharedStrings" Target="/xl/sharedStrings.xml" Id="R3e2fe6d0d6304489" /><Relationship Type="http://schemas.openxmlformats.org/officeDocument/2006/relationships/worksheet" Target="/xl/worksheets/sheet1.xml" Id="R23f9a87498b54002" /><Relationship Type="http://schemas.openxmlformats.org/officeDocument/2006/relationships/worksheet" Target="/xl/worksheets/sheet2.xml" Id="R5a188ae4a7c2401c" /><Relationship Type="http://schemas.openxmlformats.org/officeDocument/2006/relationships/worksheet" Target="/xl/worksheets/sheet3.xml" Id="R6560ed12d85e4e28" /><Relationship Type="http://schemas.openxmlformats.org/officeDocument/2006/relationships/worksheet" Target="/xl/worksheets/sheet4.xml" Id="Rce61dd5e36b84377" /><Relationship Type="http://schemas.openxmlformats.org/officeDocument/2006/relationships/worksheet" Target="/xl/worksheets/sheet5.xml" Id="R5bbada93f59a4f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8bd37f02ce451b" /><Relationship Type="http://schemas.openxmlformats.org/officeDocument/2006/relationships/chart" Target="/xl/drawings/charts/chart2.xml" Id="Rec634ceff87b42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试点漏斗：目标 vs 实际（人数）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目标</c:v>
          </c:tx>
          <c:cat>
            <c:strRef>
              <c:f>'总览'!$A$11:$A$14</c:f>
              <c:strCache>
                <c:ptCount val="0"/>
              </c:strCache>
            </c:strRef>
          </c:cat>
          <c:val>
            <c:numRef>
              <c:f>'总览'!$B$11:$B$14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实际</c:v>
          </c:tx>
          <c:cat>
            <c:strRef>
              <c:f>'总览'!$A$11:$A$14</c:f>
              <c:strCache>
                <c:ptCount val="0"/>
              </c:strCache>
            </c:strRef>
          </c:cat>
          <c:val>
            <c:numRef>
              <c:f>'总览'!$C$11:$C$14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每周合格证据提交率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实际证据率</c:v>
          </c:tx>
          <c:marker>
            <c:symbol val="none"/>
          </c:marker>
          <c:cat>
            <c:strRef>
              <c:f>'总览'!$A$20:$A$31</c:f>
              <c:strCache>
                <c:ptCount val="0"/>
              </c:strCache>
            </c:strRef>
          </c:cat>
          <c:val>
            <c:numRef>
              <c:f>'总览'!$B$20:$B$31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目标证据率</c:v>
          </c:tx>
          <c:marker>
            <c:symbol val="none"/>
          </c:marker>
          <c:cat>
            <c:strRef>
              <c:f>'总览'!$A$20:$A$31</c:f>
              <c:strCache>
                <c:ptCount val="0"/>
              </c:strCache>
            </c:strRef>
          </c:cat>
          <c:val>
            <c:numRef>
              <c:f>'总览'!$C$20:$C$31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8bd37f02ce451b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634ceff87b42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ticipantsTable" displayName="ParticipantsTable" ref="A5:P25" headerRowCount="1" totalsRowCount="0" totalsRowShown="0">
  <x:autoFilter ref="A5:P25"/>
  <x:tableColumns count="16">
    <x:tableColumn id="1" name="学员ID"/>
    <x:tableColumn id="2" name="姓名/昵称"/>
    <x:tableColumn id="3" name="联系方式"/>
    <x:tableColumn id="4" name="来源"/>
    <x:tableColumn id="5" name="项目方向"/>
    <x:tableColumn id="6" name="报名日期"/>
    <x:tableColumn id="7" name="当前状态"/>
    <x:tableColumn id="8" name="当前阶段"/>
    <x:tableColumn id="9" name="已提交证据数"/>
    <x:tableColumn id="10" name="已完成课节数"/>
    <x:tableColumn id="11" name="课程完成率"/>
    <x:tableColumn id="12" name="最近活跃日期"/>
    <x:tableColumn id="13" name="风险等级"/>
    <x:tableColumn id="14" name="访谈完成"/>
    <x:tableColumn id="15" name="付费意向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RecordsTable" displayName="WeeklyRecordsTable" ref="A5:O245" headerRowCount="1" totalsRowCount="0" totalsRowShown="0">
  <x:autoFilter ref="A5:O245"/>
  <x:tableColumns count="15">
    <x:tableColumn id="1" name="周次"/>
    <x:tableColumn id="2" name="序号"/>
    <x:tableColumn id="3" name="学员ID"/>
    <x:tableColumn id="4" name="姓名/昵称"/>
    <x:tableColumn id="5" name="计划课节数"/>
    <x:tableColumn id="6" name="证据提交数"/>
    <x:tableColumn id="7" name="合格证据数"/>
    <x:tableColumn id="8" name="投入小时"/>
    <x:tableColumn id="9" name="阻塞类型"/>
    <x:tableColumn id="10" name="阻塞说明"/>
    <x:tableColumn id="11" name="教练动作"/>
    <x:tableColumn id="12" name="下周承诺"/>
    <x:tableColumn id="13" name="更新时间"/>
    <x:tableColumn id="14" name="提交率"/>
    <x:tableColumn id="15" name="合格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viewRecordsTable" displayName="InterviewRecordsTable" ref="A5:M85" headerRowCount="1" totalsRowCount="0" totalsRowShown="0">
  <x:autoFilter ref="A5:M85"/>
  <x:tableColumns count="13">
    <x:tableColumn id="1" name="学员ID"/>
    <x:tableColumn id="2" name="姓名/昵称"/>
    <x:tableColumn id="3" name="访谈日期"/>
    <x:tableColumn id="4" name="访谈阶段"/>
    <x:tableColumn id="5" name="体验评分(0-10)"/>
    <x:tableColumn id="6" name="最有价值"/>
    <x:tableColumn id="7" name="最大阻力"/>
    <x:tableColumn id="8" name="推荐意愿(0-10)"/>
    <x:tableColumn id="9" name="NPS分类"/>
    <x:tableColumn id="10" name="付费意向"/>
    <x:tableColumn id="11" name="合作方式"/>
    <x:tableColumn id="12" name="原话摘录"/>
    <x:tableColumn id="13" name="下一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9ec2873aa34d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2956bb33d74a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20cc46a65240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d5073e51384e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42" customHeight="1">
      <x:c r="A1" s="4" t="str">
        <x:v>夸夸学习 AI · 首批试点运营看板</x:v>
      </x:c>
      <x:c r="B1" s="4" t="str">
        <x:v>夸夸学习 AI · 首批试点运营看板</x:v>
      </x:c>
      <x:c r="C1" s="4" t="str">
        <x:v>夸夸学习 AI · 首批试点运营看板</x:v>
      </x:c>
      <x:c r="D1" s="4" t="str">
        <x:v>夸夸学习 AI · 首批试点运营看板</x:v>
      </x:c>
      <x:c r="E1" s="4" t="str">
        <x:v>夸夸学习 AI · 首批试点运营看板</x:v>
      </x:c>
      <x:c r="F1" s="4" t="str">
        <x:v>夸夸学习 AI · 首批试点运营看板</x:v>
      </x:c>
      <x:c r="G1" s="4" t="str">
        <x:v>夸夸学习 AI · 首批试点运营看板</x:v>
      </x:c>
      <x:c r="H1" s="4" t="str">
        <x:v>夸夸学习 AI · 首批试点运营看板</x:v>
      </x:c>
      <x:c r="I1" s="4" t="str">
        <x:v>夸夸学习 AI · 首批试点运营看板</x:v>
      </x:c>
      <x:c r="J1" s="4" t="str">
        <x:v>夸夸学习 AI · 首批试点运营看板</x:v>
      </x:c>
      <x:c r="K1" s="4" t="str">
        <x:v>夸夸学习 AI · 首批试点运营看板</x:v>
      </x:c>
      <x:c r="L1" s="4" t="str">
        <x:v>夸夸学习 AI · 首批试点运营看板</x:v>
      </x:c>
    </x:row>
    <x:row r="2" ht="42" customHeight="1">
      <x:c r="A2" s="4" t="str">
        <x:v>夸夸学习 AI · 首批试点运营看板</x:v>
      </x:c>
      <x:c r="B2" s="4" t="str">
        <x:v>夸夸学习 AI · 首批试点运营看板</x:v>
      </x:c>
      <x:c r="C2" s="4" t="str">
        <x:v>夸夸学习 AI · 首批试点运营看板</x:v>
      </x:c>
      <x:c r="D2" s="4" t="str">
        <x:v>夸夸学习 AI · 首批试点运营看板</x:v>
      </x:c>
      <x:c r="E2" s="4" t="str">
        <x:v>夸夸学习 AI · 首批试点运营看板</x:v>
      </x:c>
      <x:c r="F2" s="4" t="str">
        <x:v>夸夸学习 AI · 首批试点运营看板</x:v>
      </x:c>
      <x:c r="G2" s="4" t="str">
        <x:v>夸夸学习 AI · 首批试点运营看板</x:v>
      </x:c>
      <x:c r="H2" s="4" t="str">
        <x:v>夸夸学习 AI · 首批试点运营看板</x:v>
      </x:c>
      <x:c r="I2" s="4" t="str">
        <x:v>夸夸学习 AI · 首批试点运营看板</x:v>
      </x:c>
      <x:c r="J2" s="4" t="str">
        <x:v>夸夸学习 AI · 首批试点运营看板</x:v>
      </x:c>
      <x:c r="K2" s="4" t="str">
        <x:v>夸夸学习 AI · 首批试点运营看板</x:v>
      </x:c>
      <x:c r="L2" s="4" t="str">
        <x:v>夸夸学习 AI · 首批试点运营看板</x:v>
      </x:c>
    </x:row>
    <x:row r="3" ht="30" customHeight="1">
      <x:c r="A3" s="8" t="str">
        <x:v>从报名、启动、作品证据到付费意向的一张表闭环。先填写学员台账，再按周更新记录与访谈。</x:v>
      </x:c>
      <x:c r="B3" s="8" t="str">
        <x:v>从报名、启动、作品证据到付费意向的一张表闭环。先填写学员台账，再按周更新记录与访谈。</x:v>
      </x:c>
      <x:c r="C3" s="8" t="str">
        <x:v>从报名、启动、作品证据到付费意向的一张表闭环。先填写学员台账，再按周更新记录与访谈。</x:v>
      </x:c>
      <x:c r="D3" s="8" t="str">
        <x:v>从报名、启动、作品证据到付费意向的一张表闭环。先填写学员台账，再按周更新记录与访谈。</x:v>
      </x:c>
      <x:c r="E3" s="8" t="str">
        <x:v>从报名、启动、作品证据到付费意向的一张表闭环。先填写学员台账，再按周更新记录与访谈。</x:v>
      </x:c>
      <x:c r="F3" s="8" t="str">
        <x:v>从报名、启动、作品证据到付费意向的一张表闭环。先填写学员台账，再按周更新记录与访谈。</x:v>
      </x:c>
      <x:c r="G3" s="8" t="str">
        <x:v>从报名、启动、作品证据到付费意向的一张表闭环。先填写学员台账，再按周更新记录与访谈。</x:v>
      </x:c>
      <x:c r="H3" s="8" t="str">
        <x:v>从报名、启动、作品证据到付费意向的一张表闭环。先填写学员台账，再按周更新记录与访谈。</x:v>
      </x:c>
      <x:c r="I3" s="8" t="str">
        <x:v>从报名、启动、作品证据到付费意向的一张表闭环。先填写学员台账，再按周更新记录与访谈。</x:v>
      </x:c>
      <x:c r="J3" s="8" t="str">
        <x:v>从报名、启动、作品证据到付费意向的一张表闭环。先填写学员台账，再按周更新记录与访谈。</x:v>
      </x:c>
      <x:c r="K3" s="8" t="str">
        <x:v>从报名、启动、作品证据到付费意向的一张表闭环。先填写学员台账，再按周更新记录与访谈。</x:v>
      </x:c>
      <x:c r="L3" s="8" t="str">
        <x:v>从报名、启动、作品证据到付费意向的一张表闭环。先填写学员台账，再按周更新记录与访谈。</x:v>
      </x:c>
    </x:row>
    <x:row r="5">
      <x:c r="A5" s="110" t="str">
        <x:v>报名人数</x:v>
      </x:c>
      <x:c r="B5" s="110" t="str">
        <x:v>报名人数</x:v>
      </x:c>
      <x:c r="C5" s="129" t="str">
        <x:v>已启动</x:v>
      </x:c>
      <x:c r="D5" s="129" t="str">
        <x:v>已启动</x:v>
      </x:c>
      <x:c r="E5" s="146" t="str">
        <x:v>已完成</x:v>
      </x:c>
      <x:c r="F5" s="146" t="str">
        <x:v>已完成</x:v>
      </x:c>
      <x:c r="G5" s="110" t="str">
        <x:v>证据完成度</x:v>
      </x:c>
      <x:c r="H5" s="110" t="str">
        <x:v>证据完成度</x:v>
      </x:c>
      <x:c r="I5" s="164" t="str">
        <x:v>平均体验分</x:v>
      </x:c>
      <x:c r="J5" s="164" t="str">
        <x:v>平均体验分</x:v>
      </x:c>
      <x:c r="K5" s="146" t="str">
        <x:v>付费意向率</x:v>
      </x:c>
      <x:c r="L5" s="146" t="str">
        <x:v>付费意向率</x:v>
      </x:c>
    </x:row>
    <x:row r="6">
      <x:c r="A6" s="125" t="n">
        <x:f>COUNTIF('学员台账'!$B$6:$B$25,"&lt;&gt;")</x:f>
        <x:v>0</x:v>
      </x:c>
      <x:c r="B6" s="122"/>
      <x:c r="C6" s="142" t="n">
        <x:f>COUNTIF('学员台账'!$G$6:$G$25,"已启动")+COUNTIF('学员台账'!$G$6:$G$25,"进行中")+COUNTIF('学员台账'!$G$6:$G$25,"已完成")</x:f>
        <x:v>0</x:v>
      </x:c>
      <x:c r="D6" s="139"/>
      <x:c r="E6" s="159" t="n">
        <x:f>COUNTIF('学员台账'!$G$6:$G$25,"已完成")</x:f>
        <x:v>0</x:v>
      </x:c>
      <x:c r="F6" s="156"/>
      <x:c r="G6" s="160" t="n">
        <x:f>IFERROR(SUM('学员台账'!$I$6:$I$25)/(COUNTIF('学员台账'!$B$6:$B$25,"&lt;&gt;")*'口径与设置'!$B$15),0)</x:f>
        <x:v>0</x:v>
      </x:c>
      <x:c r="H6" s="122"/>
      <x:c r="I6" s="177" t="n">
        <x:f>IFERROR(AVERAGEIF('访谈记录'!$A$6:$A$85,"&lt;&gt;",'访谈记录'!$E$6:$E$85),0)</x:f>
        <x:v>0</x:v>
      </x:c>
      <x:c r="J6" s="174"/>
      <x:c r="K6" s="178" t="n">
        <x:f>IFERROR(COUNTIF('学员台账'!$O$6:$O$25,"愿意")/COUNTIF('学员台账'!$B$6:$B$25,"&lt;&gt;"),0)</x:f>
        <x:v>0</x:v>
      </x:c>
      <x:c r="L6" s="156"/>
    </x:row>
    <x:row r="7">
      <x:c r="A7" s="123"/>
      <x:c r="B7" s="124"/>
      <x:c r="C7" s="140"/>
      <x:c r="D7" s="141"/>
      <x:c r="E7" s="157"/>
      <x:c r="F7" s="158"/>
      <x:c r="G7" s="123"/>
      <x:c r="H7" s="124"/>
      <x:c r="I7" s="175"/>
      <x:c r="J7" s="176"/>
      <x:c r="K7" s="157"/>
      <x:c r="L7" s="158"/>
    </x:row>
    <x:row r="10" ht="30" customHeight="1">
      <x:c r="A10" s="17" t="str">
        <x:v>试点漏斗</x:v>
      </x:c>
      <x:c r="B10" s="36" t="str">
        <x:v>目标</x:v>
      </x:c>
      <x:c r="C10" s="18" t="str">
        <x:v>实际</x:v>
      </x:c>
    </x:row>
    <x:row r="11">
      <x:c r="A11" s="191" t="str">
        <x:v>报名</x:v>
      </x:c>
      <x:c r="B11" s="194" t="n">
        <x:f>'口径与设置'!$B$8</x:f>
        <x:v>20</x:v>
      </x:c>
      <x:c r="C11" s="195" t="n">
        <x:f>A6</x:f>
        <x:v>0</x:v>
      </x:c>
    </x:row>
    <x:row r="12">
      <x:c r="A12" s="192" t="str">
        <x:v>启动</x:v>
      </x:c>
      <x:c r="B12" s="196" t="n">
        <x:f>'口径与设置'!$B$9</x:f>
        <x:v>15</x:v>
      </x:c>
      <x:c r="C12" s="197" t="n">
        <x:f>C6</x:f>
        <x:v>0</x:v>
      </x:c>
    </x:row>
    <x:row r="13">
      <x:c r="A13" s="192" t="str">
        <x:v>完成</x:v>
      </x:c>
      <x:c r="B13" s="196" t="n">
        <x:f>'口径与设置'!$B$10</x:f>
        <x:v>12</x:v>
      </x:c>
      <x:c r="C13" s="197" t="n">
        <x:f>E6</x:f>
        <x:v>0</x:v>
      </x:c>
    </x:row>
    <x:row r="14">
      <x:c r="A14" s="192" t="str">
        <x:v>愿意付费</x:v>
      </x:c>
      <x:c r="B14" s="196" t="n">
        <x:f>ROUND('口径与设置'!$B$8*'口径与设置'!$B$13,0)</x:f>
        <x:v>6</x:v>
      </x:c>
      <x:c r="C14" s="197" t="n">
        <x:f>COUNTIF('学员台账'!$O$6:$O$25,"愿意")</x:f>
        <x:v>0</x:v>
      </x:c>
    </x:row>
    <x:row r="15">
      <x:c r="A15" s="193" t="str">
        <x:v>高风险</x:v>
      </x:c>
      <x:c r="B15" s="198" t="n">
        <x:v>0</x:v>
      </x:c>
      <x:c r="C15" s="199" t="n">
        <x:f>COUNTIF('学员台账'!$M$6:$M$25,"高")</x:f>
        <x:v>0</x:v>
      </x:c>
    </x:row>
    <x:row r="19" ht="30" customHeight="1">
      <x:c r="A19" s="17" t="str">
        <x:v>周次</x:v>
      </x:c>
      <x:c r="B19" s="36" t="str">
        <x:v>实际证据率</x:v>
      </x:c>
      <x:c r="C19" s="18" t="str">
        <x:v>目标证据率</x:v>
      </x:c>
    </x:row>
    <x:row r="20">
      <x:c r="A20" s="200" t="n">
        <x:v>1</x:v>
      </x:c>
      <x:c r="B20" s="203" t="n">
        <x:f>IFERROR(SUMIFS('周度记录'!$G$6:$G$245,'周度记录'!$A$6:$A$245,A20,'周度记录'!$C$6:$C$245,"&lt;&gt;")/SUMIFS('周度记录'!$E$6:$E$245,'周度记录'!$A$6:$A$245,A20,'周度记录'!$C$6:$C$245,"&lt;&gt;"),0)</x:f>
        <x:v>0</x:v>
      </x:c>
      <x:c r="C20" s="204" t="n">
        <x:f>'口径与设置'!$B$11</x:f>
        <x:v>0.8</x:v>
      </x:c>
    </x:row>
    <x:row r="21">
      <x:c r="A21" s="201" t="n">
        <x:v>2</x:v>
      </x:c>
      <x:c r="B21" s="205" t="n">
        <x:f>IFERROR(SUMIFS('周度记录'!$G$6:$G$245,'周度记录'!$A$6:$A$245,A21,'周度记录'!$C$6:$C$245,"&lt;&gt;")/SUMIFS('周度记录'!$E$6:$E$245,'周度记录'!$A$6:$A$245,A21,'周度记录'!$C$6:$C$245,"&lt;&gt;"),0)</x:f>
        <x:v>0</x:v>
      </x:c>
      <x:c r="C21" s="206" t="n">
        <x:f>'口径与设置'!$B$11</x:f>
        <x:v>0.8</x:v>
      </x:c>
    </x:row>
    <x:row r="22">
      <x:c r="A22" s="201" t="n">
        <x:v>3</x:v>
      </x:c>
      <x:c r="B22" s="205" t="n">
        <x:f>IFERROR(SUMIFS('周度记录'!$G$6:$G$245,'周度记录'!$A$6:$A$245,A22,'周度记录'!$C$6:$C$245,"&lt;&gt;")/SUMIFS('周度记录'!$E$6:$E$245,'周度记录'!$A$6:$A$245,A22,'周度记录'!$C$6:$C$245,"&lt;&gt;"),0)</x:f>
        <x:v>0</x:v>
      </x:c>
      <x:c r="C22" s="206" t="n">
        <x:f>'口径与设置'!$B$11</x:f>
        <x:v>0.8</x:v>
      </x:c>
    </x:row>
    <x:row r="23">
      <x:c r="A23" s="201" t="n">
        <x:v>4</x:v>
      </x:c>
      <x:c r="B23" s="205" t="n">
        <x:f>IFERROR(SUMIFS('周度记录'!$G$6:$G$245,'周度记录'!$A$6:$A$245,A23,'周度记录'!$C$6:$C$245,"&lt;&gt;")/SUMIFS('周度记录'!$E$6:$E$245,'周度记录'!$A$6:$A$245,A23,'周度记录'!$C$6:$C$245,"&lt;&gt;"),0)</x:f>
        <x:v>0</x:v>
      </x:c>
      <x:c r="C23" s="206" t="n">
        <x:f>'口径与设置'!$B$11</x:f>
        <x:v>0.8</x:v>
      </x:c>
    </x:row>
    <x:row r="24">
      <x:c r="A24" s="201" t="n">
        <x:v>5</x:v>
      </x:c>
      <x:c r="B24" s="205" t="n">
        <x:f>IFERROR(SUMIFS('周度记录'!$G$6:$G$245,'周度记录'!$A$6:$A$245,A24,'周度记录'!$C$6:$C$245,"&lt;&gt;")/SUMIFS('周度记录'!$E$6:$E$245,'周度记录'!$A$6:$A$245,A24,'周度记录'!$C$6:$C$245,"&lt;&gt;"),0)</x:f>
        <x:v>0</x:v>
      </x:c>
      <x:c r="C24" s="206" t="n">
        <x:f>'口径与设置'!$B$11</x:f>
        <x:v>0.8</x:v>
      </x:c>
    </x:row>
    <x:row r="25">
      <x:c r="A25" s="201" t="n">
        <x:v>6</x:v>
      </x:c>
      <x:c r="B25" s="205" t="n">
        <x:f>IFERROR(SUMIFS('周度记录'!$G$6:$G$245,'周度记录'!$A$6:$A$245,A25,'周度记录'!$C$6:$C$245,"&lt;&gt;")/SUMIFS('周度记录'!$E$6:$E$245,'周度记录'!$A$6:$A$245,A25,'周度记录'!$C$6:$C$245,"&lt;&gt;"),0)</x:f>
        <x:v>0</x:v>
      </x:c>
      <x:c r="C25" s="206" t="n">
        <x:f>'口径与设置'!$B$11</x:f>
        <x:v>0.8</x:v>
      </x:c>
    </x:row>
    <x:row r="26">
      <x:c r="A26" s="201" t="n">
        <x:v>7</x:v>
      </x:c>
      <x:c r="B26" s="205" t="n">
        <x:f>IFERROR(SUMIFS('周度记录'!$G$6:$G$245,'周度记录'!$A$6:$A$245,A26,'周度记录'!$C$6:$C$245,"&lt;&gt;")/SUMIFS('周度记录'!$E$6:$E$245,'周度记录'!$A$6:$A$245,A26,'周度记录'!$C$6:$C$245,"&lt;&gt;"),0)</x:f>
        <x:v>0</x:v>
      </x:c>
      <x:c r="C26" s="206" t="n">
        <x:f>'口径与设置'!$B$11</x:f>
        <x:v>0.8</x:v>
      </x:c>
    </x:row>
    <x:row r="27">
      <x:c r="A27" s="201" t="n">
        <x:v>8</x:v>
      </x:c>
      <x:c r="B27" s="205" t="n">
        <x:f>IFERROR(SUMIFS('周度记录'!$G$6:$G$245,'周度记录'!$A$6:$A$245,A27,'周度记录'!$C$6:$C$245,"&lt;&gt;")/SUMIFS('周度记录'!$E$6:$E$245,'周度记录'!$A$6:$A$245,A27,'周度记录'!$C$6:$C$245,"&lt;&gt;"),0)</x:f>
        <x:v>0</x:v>
      </x:c>
      <x:c r="C27" s="206" t="n">
        <x:f>'口径与设置'!$B$11</x:f>
        <x:v>0.8</x:v>
      </x:c>
    </x:row>
    <x:row r="28">
      <x:c r="A28" s="201" t="n">
        <x:v>9</x:v>
      </x:c>
      <x:c r="B28" s="205" t="n">
        <x:f>IFERROR(SUMIFS('周度记录'!$G$6:$G$245,'周度记录'!$A$6:$A$245,A28,'周度记录'!$C$6:$C$245,"&lt;&gt;")/SUMIFS('周度记录'!$E$6:$E$245,'周度记录'!$A$6:$A$245,A28,'周度记录'!$C$6:$C$245,"&lt;&gt;"),0)</x:f>
        <x:v>0</x:v>
      </x:c>
      <x:c r="C28" s="206" t="n">
        <x:f>'口径与设置'!$B$11</x:f>
        <x:v>0.8</x:v>
      </x:c>
    </x:row>
    <x:row r="29">
      <x:c r="A29" s="201" t="n">
        <x:v>10</x:v>
      </x:c>
      <x:c r="B29" s="205" t="n">
        <x:f>IFERROR(SUMIFS('周度记录'!$G$6:$G$245,'周度记录'!$A$6:$A$245,A29,'周度记录'!$C$6:$C$245,"&lt;&gt;")/SUMIFS('周度记录'!$E$6:$E$245,'周度记录'!$A$6:$A$245,A29,'周度记录'!$C$6:$C$245,"&lt;&gt;"),0)</x:f>
        <x:v>0</x:v>
      </x:c>
      <x:c r="C29" s="206" t="n">
        <x:f>'口径与设置'!$B$11</x:f>
        <x:v>0.8</x:v>
      </x:c>
    </x:row>
    <x:row r="30">
      <x:c r="A30" s="201" t="n">
        <x:v>11</x:v>
      </x:c>
      <x:c r="B30" s="205" t="n">
        <x:f>IFERROR(SUMIFS('周度记录'!$G$6:$G$245,'周度记录'!$A$6:$A$245,A30,'周度记录'!$C$6:$C$245,"&lt;&gt;")/SUMIFS('周度记录'!$E$6:$E$245,'周度记录'!$A$6:$A$245,A30,'周度记录'!$C$6:$C$245,"&lt;&gt;"),0)</x:f>
        <x:v>0</x:v>
      </x:c>
      <x:c r="C30" s="206" t="n">
        <x:f>'口径与设置'!$B$11</x:f>
        <x:v>0.8</x:v>
      </x:c>
    </x:row>
    <x:row r="31">
      <x:c r="A31" s="202" t="n">
        <x:v>12</x:v>
      </x:c>
      <x:c r="B31" s="207" t="n">
        <x:f>IFERROR(SUMIFS('周度记录'!$G$6:$G$245,'周度记录'!$A$6:$A$245,A31,'周度记录'!$C$6:$C$245,"&lt;&gt;")/SUMIFS('周度记录'!$E$6:$E$245,'周度记录'!$A$6:$A$245,A31,'周度记录'!$C$6:$C$245,"&lt;&gt;"),0)</x:f>
        <x:v>0</x:v>
      </x:c>
      <x:c r="C31" s="208" t="n">
        <x:f>'口径与设置'!$B$11</x:f>
        <x:v>0.8</x:v>
      </x:c>
    </x:row>
    <x:row r="34">
      <x:c r="A34" s="210" t="str">
        <x:v>本周运营动作</x:v>
      </x:c>
      <x:c r="B34" s="210" t="str">
        <x:v>本周运营动作</x:v>
      </x:c>
      <x:c r="C34" s="210" t="str">
        <x:v>本周运营动作</x:v>
      </x:c>
      <x:c r="D34" s="210" t="str">
        <x:v>本周运营动作</x:v>
      </x:c>
      <x:c r="E34" s="210" t="str">
        <x:v>本周运营动作</x:v>
      </x:c>
      <x:c r="F34" s="210" t="str">
        <x:v>本周运营动作</x:v>
      </x:c>
      <x:c r="G34" s="210" t="str">
        <x:v>本周运营动作</x:v>
      </x:c>
      <x:c r="H34" s="210" t="str">
        <x:v>本周运营动作</x:v>
      </x:c>
      <x:c r="I34" s="210" t="str">
        <x:v>本周运营动作</x:v>
      </x:c>
      <x:c r="J34" s="210" t="str">
        <x:v>本周运营动作</x:v>
      </x:c>
      <x:c r="K34" s="210" t="str">
        <x:v>本周运营动作</x:v>
      </x:c>
      <x:c r="L34" s="210" t="str">
        <x:v>本周运营动作</x:v>
      </x:c>
    </x:row>
    <x:row r="35" ht="30" customHeight="1">
      <x:c r="A35" s="211" t="str">
        <x:v>1</x:v>
      </x:c>
      <x:c r="B35" s="212" t="str">
        <x:v>先处理高风险</x:v>
      </x:c>
      <x:c r="C35" s="231" t="str">
        <x:v>筛选学员台账中的高风险和未更新，48 小时内完成联系。</x:v>
      </x:c>
      <x:c r="D35" s="232"/>
      <x:c r="E35" s="232"/>
      <x:c r="F35" s="232"/>
      <x:c r="G35" s="232"/>
      <x:c r="H35" s="232"/>
      <x:c r="I35" s="232"/>
      <x:c r="J35" s="232"/>
      <x:c r="K35" s="232"/>
      <x:c r="L35" s="233"/>
    </x:row>
    <x:row r="36" ht="30" customHeight="1">
      <x:c r="A36" s="211" t="str">
        <x:v>2</x:v>
      </x:c>
      <x:c r="B36" s="212" t="str">
        <x:v>追作品而非打卡</x:v>
      </x:c>
      <x:c r="C36" s="234" t="str">
        <x:v>周度复盘只统计合格作品证据；草稿和口头承诺不计完成。</x:v>
      </x:c>
      <x:c r="D36" s="235"/>
      <x:c r="E36" s="235"/>
      <x:c r="F36" s="235"/>
      <x:c r="G36" s="235"/>
      <x:c r="H36" s="235"/>
      <x:c r="I36" s="235"/>
      <x:c r="J36" s="235"/>
      <x:c r="K36" s="235"/>
      <x:c r="L36" s="236"/>
    </x:row>
    <x:row r="37" ht="30" customHeight="1">
      <x:c r="A37" s="211" t="str">
        <x:v>3</x:v>
      </x:c>
      <x:c r="B37" s="212" t="str">
        <x:v>记录真实阻力</x:v>
      </x:c>
      <x:c r="C37" s="234" t="str">
        <x:v>把最大阻力写成用户原话，区分内容、工具、时间与信心问题。</x:v>
      </x:c>
      <x:c r="D37" s="235"/>
      <x:c r="E37" s="235"/>
      <x:c r="F37" s="235"/>
      <x:c r="G37" s="235"/>
      <x:c r="H37" s="235"/>
      <x:c r="I37" s="235"/>
      <x:c r="J37" s="235"/>
      <x:c r="K37" s="235"/>
      <x:c r="L37" s="236"/>
    </x:row>
    <x:row r="38" ht="30" customHeight="1">
      <x:c r="A38" s="211" t="str">
        <x:v>4</x:v>
      </x:c>
      <x:c r="B38" s="212" t="str">
        <x:v>对照目标做决定</x:v>
      </x:c>
      <x:c r="C38" s="234" t="str">
        <x:v>连续两周低于目标证据率时，先缩短任务或补示例，不急着扩招。</x:v>
      </x:c>
      <x:c r="D38" s="235"/>
      <x:c r="E38" s="235"/>
      <x:c r="F38" s="235"/>
      <x:c r="G38" s="235"/>
      <x:c r="H38" s="235"/>
      <x:c r="I38" s="235"/>
      <x:c r="J38" s="235"/>
      <x:c r="K38" s="235"/>
      <x:c r="L38" s="236"/>
    </x:row>
    <x:row r="39" ht="30" customHeight="1">
      <x:c r="A39" s="211" t="str">
        <x:v>5</x:v>
      </x:c>
      <x:c r="B39" s="212" t="str">
        <x:v>结营验证商业意愿</x:v>
      </x:c>
      <x:c r="C39" s="237" t="str">
        <x:v>区分好评、推荐和付费意向，只有明确下一步才进入销售跟进。</x:v>
      </x:c>
      <x:c r="D39" s="238"/>
      <x:c r="E39" s="238"/>
      <x:c r="F39" s="238"/>
      <x:c r="G39" s="238"/>
      <x:c r="H39" s="238"/>
      <x:c r="I39" s="238"/>
      <x:c r="J39" s="238"/>
      <x:c r="K39" s="238"/>
      <x:c r="L39" s="239"/>
    </x:row>
  </x:sheetData>
  <x:mergeCells>
    <x:mergeCell ref="A1:L2"/>
    <x:mergeCell ref="A3:L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A34:L34"/>
    <x:mergeCell ref="C35:L35"/>
    <x:mergeCell ref="C36:L36"/>
    <x:mergeCell ref="C37:L37"/>
    <x:mergeCell ref="C38:L38"/>
    <x:mergeCell ref="C39:L39"/>
  </x:mergeCells>
  <x:conditionalFormatting sqref="B20:B31">
    <x:cfRule type="dataBar" priority="1">
      <x:dataBar>
        <x:cfvo type="min"/>
        <x:cfvo type="max"/>
        <x:color rgb="FF168C76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f9ec2873aa34d1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FB47AB-F48E-53DF-E161-4C924D031700}">
            <x14:dataBar gradient="1">
              <x14:cfvo type="min"/>
              <x14:cfvo type="max"/>
              <x14:fillColor rgb="FF168C76"/>
            </x14:dataBar>
          </x14:cfRule>
          <xm:sqref>B20:B31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14" hidden="0" customWidth="1"/>
    <x:col min="5" max="5" width="28" hidden="0" customWidth="1"/>
    <x:col min="6" max="6" width="13" hidden="0" customWidth="1"/>
    <x:col min="7" max="7" width="13" hidden="0" customWidth="1"/>
    <x:col min="8" max="8" width="11" hidden="0" customWidth="1"/>
    <x:col min="9" max="9" width="14" hidden="0" customWidth="1"/>
    <x:col min="10" max="10" width="14" hidden="0" customWidth="1"/>
    <x:col min="11" max="11" width="13" hidden="0" customWidth="1"/>
    <x:col min="12" max="12" width="14" hidden="0" customWidth="1"/>
    <x:col min="13" max="13" width="11" hidden="0" customWidth="1"/>
    <x:col min="14" max="14" width="12" hidden="0" customWidth="1"/>
    <x:col min="15" max="15" width="13" hidden="0" customWidth="1"/>
    <x:col min="16" max="16" width="30" hidden="0" customWidth="1"/>
  </x:cols>
  <x:sheetData>
    <x:row r="1" ht="42" customHeight="1">
      <x:c r="A1" s="4" t="str">
        <x:v>学员台账</x:v>
      </x:c>
      <x:c r="B1" s="4" t="str">
        <x:v>学员台账</x:v>
      </x:c>
      <x:c r="C1" s="4" t="str">
        <x:v>学员台账</x:v>
      </x:c>
      <x:c r="D1" s="4" t="str">
        <x:v>学员台账</x:v>
      </x:c>
      <x:c r="E1" s="4" t="str">
        <x:v>学员台账</x:v>
      </x:c>
      <x:c r="F1" s="4" t="str">
        <x:v>学员台账</x:v>
      </x:c>
      <x:c r="G1" s="4" t="str">
        <x:v>学员台账</x:v>
      </x:c>
      <x:c r="H1" s="4" t="str">
        <x:v>学员台账</x:v>
      </x:c>
      <x:c r="I1" s="4" t="str">
        <x:v>学员台账</x:v>
      </x:c>
      <x:c r="J1" s="4" t="str">
        <x:v>学员台账</x:v>
      </x:c>
      <x:c r="K1" s="4" t="str">
        <x:v>学员台账</x:v>
      </x:c>
      <x:c r="L1" s="4" t="str">
        <x:v>学员台账</x:v>
      </x:c>
      <x:c r="M1" s="4" t="str">
        <x:v>学员台账</x:v>
      </x:c>
      <x:c r="N1" s="4" t="str">
        <x:v>学员台账</x:v>
      </x:c>
      <x:c r="O1" s="4" t="str">
        <x:v>学员台账</x:v>
      </x:c>
      <x:c r="P1" s="4" t="str">
        <x:v>学员台账</x:v>
      </x:c>
    </x:row>
    <x:row r="2" ht="42" customHeight="1">
      <x:c r="A2" s="4" t="str">
        <x:v>学员台账</x:v>
      </x:c>
      <x:c r="B2" s="4" t="str">
        <x:v>学员台账</x:v>
      </x:c>
      <x:c r="C2" s="4" t="str">
        <x:v>学员台账</x:v>
      </x:c>
      <x:c r="D2" s="4" t="str">
        <x:v>学员台账</x:v>
      </x:c>
      <x:c r="E2" s="4" t="str">
        <x:v>学员台账</x:v>
      </x:c>
      <x:c r="F2" s="4" t="str">
        <x:v>学员台账</x:v>
      </x:c>
      <x:c r="G2" s="4" t="str">
        <x:v>学员台账</x:v>
      </x:c>
      <x:c r="H2" s="4" t="str">
        <x:v>学员台账</x:v>
      </x:c>
      <x:c r="I2" s="4" t="str">
        <x:v>学员台账</x:v>
      </x:c>
      <x:c r="J2" s="4" t="str">
        <x:v>学员台账</x:v>
      </x:c>
      <x:c r="K2" s="4" t="str">
        <x:v>学员台账</x:v>
      </x:c>
      <x:c r="L2" s="4" t="str">
        <x:v>学员台账</x:v>
      </x:c>
      <x:c r="M2" s="4" t="str">
        <x:v>学员台账</x:v>
      </x:c>
      <x:c r="N2" s="4" t="str">
        <x:v>学员台账</x:v>
      </x:c>
      <x:c r="O2" s="4" t="str">
        <x:v>学员台账</x:v>
      </x:c>
      <x:c r="P2" s="4" t="str">
        <x:v>学员台账</x:v>
      </x:c>
    </x:row>
    <x:row r="3" ht="30" customHeight="1">
      <x:c r="A3" s="8" t="str">
        <x:v>一人一行。蓝色表头下填写真实数据；完成率和风险等级由公式生成，不要手工覆盖公式列。</x:v>
      </x:c>
      <x:c r="B3" s="8" t="str">
        <x:v>一人一行。蓝色表头下填写真实数据；完成率和风险等级由公式生成，不要手工覆盖公式列。</x:v>
      </x:c>
      <x:c r="C3" s="8" t="str">
        <x:v>一人一行。蓝色表头下填写真实数据；完成率和风险等级由公式生成，不要手工覆盖公式列。</x:v>
      </x:c>
      <x:c r="D3" s="8" t="str">
        <x:v>一人一行。蓝色表头下填写真实数据；完成率和风险等级由公式生成，不要手工覆盖公式列。</x:v>
      </x:c>
      <x:c r="E3" s="8" t="str">
        <x:v>一人一行。蓝色表头下填写真实数据；完成率和风险等级由公式生成，不要手工覆盖公式列。</x:v>
      </x:c>
      <x:c r="F3" s="8" t="str">
        <x:v>一人一行。蓝色表头下填写真实数据；完成率和风险等级由公式生成，不要手工覆盖公式列。</x:v>
      </x:c>
      <x:c r="G3" s="8" t="str">
        <x:v>一人一行。蓝色表头下填写真实数据；完成率和风险等级由公式生成，不要手工覆盖公式列。</x:v>
      </x:c>
      <x:c r="H3" s="8" t="str">
        <x:v>一人一行。蓝色表头下填写真实数据；完成率和风险等级由公式生成，不要手工覆盖公式列。</x:v>
      </x:c>
      <x:c r="I3" s="8" t="str">
        <x:v>一人一行。蓝色表头下填写真实数据；完成率和风险等级由公式生成，不要手工覆盖公式列。</x:v>
      </x:c>
      <x:c r="J3" s="8" t="str">
        <x:v>一人一行。蓝色表头下填写真实数据；完成率和风险等级由公式生成，不要手工覆盖公式列。</x:v>
      </x:c>
      <x:c r="K3" s="8" t="str">
        <x:v>一人一行。蓝色表头下填写真实数据；完成率和风险等级由公式生成，不要手工覆盖公式列。</x:v>
      </x:c>
      <x:c r="L3" s="8" t="str">
        <x:v>一人一行。蓝色表头下填写真实数据；完成率和风险等级由公式生成，不要手工覆盖公式列。</x:v>
      </x:c>
      <x:c r="M3" s="8" t="str">
        <x:v>一人一行。蓝色表头下填写真实数据；完成率和风险等级由公式生成，不要手工覆盖公式列。</x:v>
      </x:c>
      <x:c r="N3" s="8" t="str">
        <x:v>一人一行。蓝色表头下填写真实数据；完成率和风险等级由公式生成，不要手工覆盖公式列。</x:v>
      </x:c>
      <x:c r="O3" s="8" t="str">
        <x:v>一人一行。蓝色表头下填写真实数据；完成率和风险等级由公式生成，不要手工覆盖公式列。</x:v>
      </x:c>
      <x:c r="P3" s="8" t="str">
        <x:v>一人一行。蓝色表头下填写真实数据；完成率和风险等级由公式生成，不要手工覆盖公式列。</x:v>
      </x:c>
    </x:row>
    <x:row r="5" ht="30" customHeight="1">
      <x:c r="A5" s="17" t="str">
        <x:v>学员ID</x:v>
      </x:c>
      <x:c r="B5" s="36" t="str">
        <x:v>姓名/昵称</x:v>
      </x:c>
      <x:c r="C5" s="36" t="str">
        <x:v>联系方式</x:v>
      </x:c>
      <x:c r="D5" s="36" t="str">
        <x:v>来源</x:v>
      </x:c>
      <x:c r="E5" s="36" t="str">
        <x:v>项目方向</x:v>
      </x:c>
      <x:c r="F5" s="36" t="str">
        <x:v>报名日期</x:v>
      </x:c>
      <x:c r="G5" s="36" t="str">
        <x:v>当前状态</x:v>
      </x:c>
      <x:c r="H5" s="36" t="str">
        <x:v>当前阶段</x:v>
      </x:c>
      <x:c r="I5" s="36" t="str">
        <x:v>已提交证据数</x:v>
      </x:c>
      <x:c r="J5" s="36" t="str">
        <x:v>已完成课节数</x:v>
      </x:c>
      <x:c r="K5" s="36" t="str">
        <x:v>课程完成率</x:v>
      </x:c>
      <x:c r="L5" s="36" t="str">
        <x:v>最近活跃日期</x:v>
      </x:c>
      <x:c r="M5" s="36" t="str">
        <x:v>风险等级</x:v>
      </x:c>
      <x:c r="N5" s="36" t="str">
        <x:v>访谈完成</x:v>
      </x:c>
      <x:c r="O5" s="36" t="str">
        <x:v>付费意向</x:v>
      </x:c>
      <x:c r="P5" s="18" t="str">
        <x:v>备注</x:v>
      </x:c>
    </x:row>
    <x:row r="6">
      <x:c r="A6" s="76"/>
      <x:c r="B6" s="77"/>
      <x:c r="C6" s="77"/>
      <x:c r="D6" s="77"/>
      <x:c r="E6" s="77"/>
      <x:c r="F6" s="78"/>
      <x:c r="G6" s="77"/>
      <x:c r="H6" s="79"/>
      <x:c r="I6" s="79"/>
      <x:c r="J6" s="79"/>
      <x:c r="K6" s="80" t="n">
        <x:f>IFERROR(J6/'口径与设置'!$B$15,0)</x:f>
        <x:v>0</x:v>
      </x:c>
      <x:c r="L6" s="78"/>
      <x:c r="M6" s="77" t="str">
        <x:f>IF(OR(G6="已完成",G6="已退出"),"",IF(B6="","",IF(L6="","未更新",IF(TODAY()-L6&gt;7,"高",IF(TODAY()-L6&gt;3,"中","低")))))</x:f>
      </x:c>
      <x:c r="N6" s="77"/>
      <x:c r="O6" s="77"/>
      <x:c r="P6" s="81"/>
    </x:row>
    <x:row r="7">
      <x:c r="A7" s="82"/>
      <x:c r="B7" s="83"/>
      <x:c r="C7" s="83"/>
      <x:c r="D7" s="83"/>
      <x:c r="E7" s="83"/>
      <x:c r="F7" s="84"/>
      <x:c r="G7" s="83"/>
      <x:c r="H7" s="85"/>
      <x:c r="I7" s="85"/>
      <x:c r="J7" s="85"/>
      <x:c r="K7" s="86" t="n">
        <x:f>IFERROR(J7/'口径与设置'!$B$15,0)</x:f>
        <x:v>0</x:v>
      </x:c>
      <x:c r="L7" s="84"/>
      <x:c r="M7" s="83" t="str">
        <x:f>IF(OR(G7="已完成",G7="已退出"),"",IF(B7="","",IF(L7="","未更新",IF(TODAY()-L7&gt;7,"高",IF(TODAY()-L7&gt;3,"中","低")))))</x:f>
      </x:c>
      <x:c r="N7" s="83"/>
      <x:c r="O7" s="83"/>
      <x:c r="P7" s="87"/>
    </x:row>
    <x:row r="8">
      <x:c r="A8" s="82"/>
      <x:c r="B8" s="83"/>
      <x:c r="C8" s="83"/>
      <x:c r="D8" s="83"/>
      <x:c r="E8" s="83"/>
      <x:c r="F8" s="84"/>
      <x:c r="G8" s="83"/>
      <x:c r="H8" s="85"/>
      <x:c r="I8" s="85"/>
      <x:c r="J8" s="85"/>
      <x:c r="K8" s="86" t="n">
        <x:f>IFERROR(J8/'口径与设置'!$B$15,0)</x:f>
        <x:v>0</x:v>
      </x:c>
      <x:c r="L8" s="84"/>
      <x:c r="M8" s="83" t="str">
        <x:f>IF(OR(G8="已完成",G8="已退出"),"",IF(B8="","",IF(L8="","未更新",IF(TODAY()-L8&gt;7,"高",IF(TODAY()-L8&gt;3,"中","低")))))</x:f>
      </x:c>
      <x:c r="N8" s="83"/>
      <x:c r="O8" s="83"/>
      <x:c r="P8" s="87"/>
    </x:row>
    <x:row r="9">
      <x:c r="A9" s="82"/>
      <x:c r="B9" s="83"/>
      <x:c r="C9" s="83"/>
      <x:c r="D9" s="83"/>
      <x:c r="E9" s="83"/>
      <x:c r="F9" s="84"/>
      <x:c r="G9" s="83"/>
      <x:c r="H9" s="85"/>
      <x:c r="I9" s="85"/>
      <x:c r="J9" s="85"/>
      <x:c r="K9" s="86" t="n">
        <x:f>IFERROR(J9/'口径与设置'!$B$15,0)</x:f>
        <x:v>0</x:v>
      </x:c>
      <x:c r="L9" s="84"/>
      <x:c r="M9" s="83" t="str">
        <x:f>IF(OR(G9="已完成",G9="已退出"),"",IF(B9="","",IF(L9="","未更新",IF(TODAY()-L9&gt;7,"高",IF(TODAY()-L9&gt;3,"中","低")))))</x:f>
      </x:c>
      <x:c r="N9" s="83"/>
      <x:c r="O9" s="83"/>
      <x:c r="P9" s="87"/>
    </x:row>
    <x:row r="10">
      <x:c r="A10" s="82"/>
      <x:c r="B10" s="83"/>
      <x:c r="C10" s="83"/>
      <x:c r="D10" s="83"/>
      <x:c r="E10" s="83"/>
      <x:c r="F10" s="84"/>
      <x:c r="G10" s="83"/>
      <x:c r="H10" s="85"/>
      <x:c r="I10" s="85"/>
      <x:c r="J10" s="85"/>
      <x:c r="K10" s="86" t="n">
        <x:f>IFERROR(J10/'口径与设置'!$B$15,0)</x:f>
        <x:v>0</x:v>
      </x:c>
      <x:c r="L10" s="84"/>
      <x:c r="M10" s="83" t="str">
        <x:f>IF(OR(G10="已完成",G10="已退出"),"",IF(B10="","",IF(L10="","未更新",IF(TODAY()-L10&gt;7,"高",IF(TODAY()-L10&gt;3,"中","低")))))</x:f>
      </x:c>
      <x:c r="N10" s="83"/>
      <x:c r="O10" s="83"/>
      <x:c r="P10" s="87"/>
    </x:row>
    <x:row r="11">
      <x:c r="A11" s="82"/>
      <x:c r="B11" s="83"/>
      <x:c r="C11" s="83"/>
      <x:c r="D11" s="83"/>
      <x:c r="E11" s="83"/>
      <x:c r="F11" s="84"/>
      <x:c r="G11" s="83"/>
      <x:c r="H11" s="85"/>
      <x:c r="I11" s="85"/>
      <x:c r="J11" s="85"/>
      <x:c r="K11" s="86" t="n">
        <x:f>IFERROR(J11/'口径与设置'!$B$15,0)</x:f>
        <x:v>0</x:v>
      </x:c>
      <x:c r="L11" s="84"/>
      <x:c r="M11" s="83" t="str">
        <x:f>IF(OR(G11="已完成",G11="已退出"),"",IF(B11="","",IF(L11="","未更新",IF(TODAY()-L11&gt;7,"高",IF(TODAY()-L11&gt;3,"中","低")))))</x:f>
      </x:c>
      <x:c r="N11" s="83"/>
      <x:c r="O11" s="83"/>
      <x:c r="P11" s="87"/>
    </x:row>
    <x:row r="12">
      <x:c r="A12" s="82"/>
      <x:c r="B12" s="83"/>
      <x:c r="C12" s="83"/>
      <x:c r="D12" s="83"/>
      <x:c r="E12" s="83"/>
      <x:c r="F12" s="84"/>
      <x:c r="G12" s="83"/>
      <x:c r="H12" s="85"/>
      <x:c r="I12" s="85"/>
      <x:c r="J12" s="85"/>
      <x:c r="K12" s="86" t="n">
        <x:f>IFERROR(J12/'口径与设置'!$B$15,0)</x:f>
        <x:v>0</x:v>
      </x:c>
      <x:c r="L12" s="84"/>
      <x:c r="M12" s="83" t="str">
        <x:f>IF(OR(G12="已完成",G12="已退出"),"",IF(B12="","",IF(L12="","未更新",IF(TODAY()-L12&gt;7,"高",IF(TODAY()-L12&gt;3,"中","低")))))</x:f>
      </x:c>
      <x:c r="N12" s="83"/>
      <x:c r="O12" s="83"/>
      <x:c r="P12" s="87"/>
    </x:row>
    <x:row r="13">
      <x:c r="A13" s="82"/>
      <x:c r="B13" s="83"/>
      <x:c r="C13" s="83"/>
      <x:c r="D13" s="83"/>
      <x:c r="E13" s="83"/>
      <x:c r="F13" s="84"/>
      <x:c r="G13" s="83"/>
      <x:c r="H13" s="85"/>
      <x:c r="I13" s="85"/>
      <x:c r="J13" s="85"/>
      <x:c r="K13" s="86" t="n">
        <x:f>IFERROR(J13/'口径与设置'!$B$15,0)</x:f>
        <x:v>0</x:v>
      </x:c>
      <x:c r="L13" s="84"/>
      <x:c r="M13" s="83" t="str">
        <x:f>IF(OR(G13="已完成",G13="已退出"),"",IF(B13="","",IF(L13="","未更新",IF(TODAY()-L13&gt;7,"高",IF(TODAY()-L13&gt;3,"中","低")))))</x:f>
      </x:c>
      <x:c r="N13" s="83"/>
      <x:c r="O13" s="83"/>
      <x:c r="P13" s="87"/>
    </x:row>
    <x:row r="14">
      <x:c r="A14" s="82"/>
      <x:c r="B14" s="83"/>
      <x:c r="C14" s="83"/>
      <x:c r="D14" s="83"/>
      <x:c r="E14" s="83"/>
      <x:c r="F14" s="84"/>
      <x:c r="G14" s="83"/>
      <x:c r="H14" s="85"/>
      <x:c r="I14" s="85"/>
      <x:c r="J14" s="85"/>
      <x:c r="K14" s="86" t="n">
        <x:f>IFERROR(J14/'口径与设置'!$B$15,0)</x:f>
        <x:v>0</x:v>
      </x:c>
      <x:c r="L14" s="84"/>
      <x:c r="M14" s="83" t="str">
        <x:f>IF(OR(G14="已完成",G14="已退出"),"",IF(B14="","",IF(L14="","未更新",IF(TODAY()-L14&gt;7,"高",IF(TODAY()-L14&gt;3,"中","低")))))</x:f>
      </x:c>
      <x:c r="N14" s="83"/>
      <x:c r="O14" s="83"/>
      <x:c r="P14" s="87"/>
    </x:row>
    <x:row r="15">
      <x:c r="A15" s="82"/>
      <x:c r="B15" s="83"/>
      <x:c r="C15" s="83"/>
      <x:c r="D15" s="83"/>
      <x:c r="E15" s="83"/>
      <x:c r="F15" s="84"/>
      <x:c r="G15" s="83"/>
      <x:c r="H15" s="85"/>
      <x:c r="I15" s="85"/>
      <x:c r="J15" s="85"/>
      <x:c r="K15" s="86" t="n">
        <x:f>IFERROR(J15/'口径与设置'!$B$15,0)</x:f>
        <x:v>0</x:v>
      </x:c>
      <x:c r="L15" s="84"/>
      <x:c r="M15" s="83" t="str">
        <x:f>IF(OR(G15="已完成",G15="已退出"),"",IF(B15="","",IF(L15="","未更新",IF(TODAY()-L15&gt;7,"高",IF(TODAY()-L15&gt;3,"中","低")))))</x:f>
      </x:c>
      <x:c r="N15" s="83"/>
      <x:c r="O15" s="83"/>
      <x:c r="P15" s="87"/>
    </x:row>
    <x:row r="16">
      <x:c r="A16" s="82"/>
      <x:c r="B16" s="83"/>
      <x:c r="C16" s="83"/>
      <x:c r="D16" s="83"/>
      <x:c r="E16" s="83"/>
      <x:c r="F16" s="84"/>
      <x:c r="G16" s="83"/>
      <x:c r="H16" s="85"/>
      <x:c r="I16" s="85"/>
      <x:c r="J16" s="85"/>
      <x:c r="K16" s="86" t="n">
        <x:f>IFERROR(J16/'口径与设置'!$B$15,0)</x:f>
        <x:v>0</x:v>
      </x:c>
      <x:c r="L16" s="84"/>
      <x:c r="M16" s="83" t="str">
        <x:f>IF(OR(G16="已完成",G16="已退出"),"",IF(B16="","",IF(L16="","未更新",IF(TODAY()-L16&gt;7,"高",IF(TODAY()-L16&gt;3,"中","低")))))</x:f>
      </x:c>
      <x:c r="N16" s="83"/>
      <x:c r="O16" s="83"/>
      <x:c r="P16" s="87"/>
    </x:row>
    <x:row r="17">
      <x:c r="A17" s="82"/>
      <x:c r="B17" s="83"/>
      <x:c r="C17" s="83"/>
      <x:c r="D17" s="83"/>
      <x:c r="E17" s="83"/>
      <x:c r="F17" s="84"/>
      <x:c r="G17" s="83"/>
      <x:c r="H17" s="85"/>
      <x:c r="I17" s="85"/>
      <x:c r="J17" s="85"/>
      <x:c r="K17" s="86" t="n">
        <x:f>IFERROR(J17/'口径与设置'!$B$15,0)</x:f>
        <x:v>0</x:v>
      </x:c>
      <x:c r="L17" s="84"/>
      <x:c r="M17" s="83" t="str">
        <x:f>IF(OR(G17="已完成",G17="已退出"),"",IF(B17="","",IF(L17="","未更新",IF(TODAY()-L17&gt;7,"高",IF(TODAY()-L17&gt;3,"中","低")))))</x:f>
      </x:c>
      <x:c r="N17" s="83"/>
      <x:c r="O17" s="83"/>
      <x:c r="P17" s="87"/>
    </x:row>
    <x:row r="18">
      <x:c r="A18" s="82"/>
      <x:c r="B18" s="83"/>
      <x:c r="C18" s="83"/>
      <x:c r="D18" s="83"/>
      <x:c r="E18" s="83"/>
      <x:c r="F18" s="84"/>
      <x:c r="G18" s="83"/>
      <x:c r="H18" s="85"/>
      <x:c r="I18" s="85"/>
      <x:c r="J18" s="85"/>
      <x:c r="K18" s="86" t="n">
        <x:f>IFERROR(J18/'口径与设置'!$B$15,0)</x:f>
        <x:v>0</x:v>
      </x:c>
      <x:c r="L18" s="84"/>
      <x:c r="M18" s="83" t="str">
        <x:f>IF(OR(G18="已完成",G18="已退出"),"",IF(B18="","",IF(L18="","未更新",IF(TODAY()-L18&gt;7,"高",IF(TODAY()-L18&gt;3,"中","低")))))</x:f>
      </x:c>
      <x:c r="N18" s="83"/>
      <x:c r="O18" s="83"/>
      <x:c r="P18" s="87"/>
    </x:row>
    <x:row r="19">
      <x:c r="A19" s="82"/>
      <x:c r="B19" s="83"/>
      <x:c r="C19" s="83"/>
      <x:c r="D19" s="83"/>
      <x:c r="E19" s="83"/>
      <x:c r="F19" s="84"/>
      <x:c r="G19" s="83"/>
      <x:c r="H19" s="85"/>
      <x:c r="I19" s="85"/>
      <x:c r="J19" s="85"/>
      <x:c r="K19" s="86" t="n">
        <x:f>IFERROR(J19/'口径与设置'!$B$15,0)</x:f>
        <x:v>0</x:v>
      </x:c>
      <x:c r="L19" s="84"/>
      <x:c r="M19" s="83" t="str">
        <x:f>IF(OR(G19="已完成",G19="已退出"),"",IF(B19="","",IF(L19="","未更新",IF(TODAY()-L19&gt;7,"高",IF(TODAY()-L19&gt;3,"中","低")))))</x:f>
      </x:c>
      <x:c r="N19" s="83"/>
      <x:c r="O19" s="83"/>
      <x:c r="P19" s="87"/>
    </x:row>
    <x:row r="20">
      <x:c r="A20" s="82"/>
      <x:c r="B20" s="83"/>
      <x:c r="C20" s="83"/>
      <x:c r="D20" s="83"/>
      <x:c r="E20" s="83"/>
      <x:c r="F20" s="84"/>
      <x:c r="G20" s="83"/>
      <x:c r="H20" s="85"/>
      <x:c r="I20" s="85"/>
      <x:c r="J20" s="85"/>
      <x:c r="K20" s="86" t="n">
        <x:f>IFERROR(J20/'口径与设置'!$B$15,0)</x:f>
        <x:v>0</x:v>
      </x:c>
      <x:c r="L20" s="84"/>
      <x:c r="M20" s="83" t="str">
        <x:f>IF(OR(G20="已完成",G20="已退出"),"",IF(B20="","",IF(L20="","未更新",IF(TODAY()-L20&gt;7,"高",IF(TODAY()-L20&gt;3,"中","低")))))</x:f>
      </x:c>
      <x:c r="N20" s="83"/>
      <x:c r="O20" s="83"/>
      <x:c r="P20" s="87"/>
    </x:row>
    <x:row r="21">
      <x:c r="A21" s="82"/>
      <x:c r="B21" s="83"/>
      <x:c r="C21" s="83"/>
      <x:c r="D21" s="83"/>
      <x:c r="E21" s="83"/>
      <x:c r="F21" s="84"/>
      <x:c r="G21" s="83"/>
      <x:c r="H21" s="85"/>
      <x:c r="I21" s="85"/>
      <x:c r="J21" s="85"/>
      <x:c r="K21" s="86" t="n">
        <x:f>IFERROR(J21/'口径与设置'!$B$15,0)</x:f>
        <x:v>0</x:v>
      </x:c>
      <x:c r="L21" s="84"/>
      <x:c r="M21" s="83" t="str">
        <x:f>IF(OR(G21="已完成",G21="已退出"),"",IF(B21="","",IF(L21="","未更新",IF(TODAY()-L21&gt;7,"高",IF(TODAY()-L21&gt;3,"中","低")))))</x:f>
      </x:c>
      <x:c r="N21" s="83"/>
      <x:c r="O21" s="83"/>
      <x:c r="P21" s="87"/>
    </x:row>
    <x:row r="22">
      <x:c r="A22" s="82"/>
      <x:c r="B22" s="83"/>
      <x:c r="C22" s="83"/>
      <x:c r="D22" s="83"/>
      <x:c r="E22" s="83"/>
      <x:c r="F22" s="84"/>
      <x:c r="G22" s="83"/>
      <x:c r="H22" s="85"/>
      <x:c r="I22" s="85"/>
      <x:c r="J22" s="85"/>
      <x:c r="K22" s="86" t="n">
        <x:f>IFERROR(J22/'口径与设置'!$B$15,0)</x:f>
        <x:v>0</x:v>
      </x:c>
      <x:c r="L22" s="84"/>
      <x:c r="M22" s="83" t="str">
        <x:f>IF(OR(G22="已完成",G22="已退出"),"",IF(B22="","",IF(L22="","未更新",IF(TODAY()-L22&gt;7,"高",IF(TODAY()-L22&gt;3,"中","低")))))</x:f>
      </x:c>
      <x:c r="N22" s="83"/>
      <x:c r="O22" s="83"/>
      <x:c r="P22" s="87"/>
    </x:row>
    <x:row r="23">
      <x:c r="A23" s="82"/>
      <x:c r="B23" s="83"/>
      <x:c r="C23" s="83"/>
      <x:c r="D23" s="83"/>
      <x:c r="E23" s="83"/>
      <x:c r="F23" s="84"/>
      <x:c r="G23" s="83"/>
      <x:c r="H23" s="85"/>
      <x:c r="I23" s="85"/>
      <x:c r="J23" s="85"/>
      <x:c r="K23" s="86" t="n">
        <x:f>IFERROR(J23/'口径与设置'!$B$15,0)</x:f>
        <x:v>0</x:v>
      </x:c>
      <x:c r="L23" s="84"/>
      <x:c r="M23" s="83" t="str">
        <x:f>IF(OR(G23="已完成",G23="已退出"),"",IF(B23="","",IF(L23="","未更新",IF(TODAY()-L23&gt;7,"高",IF(TODAY()-L23&gt;3,"中","低")))))</x:f>
      </x:c>
      <x:c r="N23" s="83"/>
      <x:c r="O23" s="83"/>
      <x:c r="P23" s="87"/>
    </x:row>
    <x:row r="24">
      <x:c r="A24" s="82"/>
      <x:c r="B24" s="83"/>
      <x:c r="C24" s="83"/>
      <x:c r="D24" s="83"/>
      <x:c r="E24" s="83"/>
      <x:c r="F24" s="84"/>
      <x:c r="G24" s="83"/>
      <x:c r="H24" s="85"/>
      <x:c r="I24" s="85"/>
      <x:c r="J24" s="85"/>
      <x:c r="K24" s="86" t="n">
        <x:f>IFERROR(J24/'口径与设置'!$B$15,0)</x:f>
        <x:v>0</x:v>
      </x:c>
      <x:c r="L24" s="84"/>
      <x:c r="M24" s="83" t="str">
        <x:f>IF(OR(G24="已完成",G24="已退出"),"",IF(B24="","",IF(L24="","未更新",IF(TODAY()-L24&gt;7,"高",IF(TODAY()-L24&gt;3,"中","低")))))</x:f>
      </x:c>
      <x:c r="N24" s="83"/>
      <x:c r="O24" s="83"/>
      <x:c r="P24" s="87"/>
    </x:row>
    <x:row r="25">
      <x:c r="A25" s="88"/>
      <x:c r="B25" s="89"/>
      <x:c r="C25" s="89"/>
      <x:c r="D25" s="89"/>
      <x:c r="E25" s="89"/>
      <x:c r="F25" s="90"/>
      <x:c r="G25" s="89"/>
      <x:c r="H25" s="91"/>
      <x:c r="I25" s="91"/>
      <x:c r="J25" s="91"/>
      <x:c r="K25" s="92" t="n">
        <x:f>IFERROR(J25/'口径与设置'!$B$15,0)</x:f>
        <x:v>0</x:v>
      </x:c>
      <x:c r="L25" s="90"/>
      <x:c r="M25" s="89" t="str">
        <x:f>IF(OR(G25="已完成",G25="已退出"),"",IF(B25="","",IF(L25="","未更新",IF(TODAY()-L25&gt;7,"高",IF(TODAY()-L25&gt;3,"中","低")))))</x:f>
      </x:c>
      <x:c r="N25" s="89"/>
      <x:c r="O25" s="89"/>
      <x:c r="P25" s="93"/>
    </x:row>
  </x:sheetData>
  <x:mergeCells>
    <x:mergeCell ref="A1:P2"/>
    <x:mergeCell ref="A3:P3"/>
  </x:mergeCells>
  <x:conditionalFormatting sqref="K6:K25">
    <x:cfRule type="dataBar" priority="1">
      <x:dataBar>
        <x:cfvo type="min"/>
        <x:cfvo type="max"/>
        <x:color rgb="FF2F4BE8"/>
      </x:dataBar>
      <x:extLst>
        <x:ext xmlns:x14="http://schemas.microsoft.com/office/spreadsheetml/2009/9/main" uri="{B025F937-C7B1-47D3-B67F-A62EFF666E3E}">
          <x14:id>{34977218-97BC-391D-AF68-711DEDA72B58}</x14:id>
        </x:ext>
      </x:extLst>
    </x:cfRule>
  </x:conditionalFormatting>
  <x:conditionalFormatting sqref="M6:M25">
    <x:cfRule type="containsText" dxfId="0" priority="2" operator="containsText" text="高"/>
    <x:cfRule type="containsText" dxfId="1" priority="3" operator="containsText" text="中"/>
    <x:cfRule type="containsText" dxfId="2" priority="4" operator="containsText" text="低"/>
  </x:conditionalFormatting>
  <x:dataValidations count="5">
    <x:dataValidation type="list" sqref="G6:G25">
      <x:formula1>"待联系,已报名,已启动,进行中,已完成,已退出"</x:formula1>
    </x:dataValidation>
    <x:dataValidation type="whole" operator="between" sqref="H6:H25">
      <x:formula1>0</x:formula1>
      <x:formula2>8</x:formula2>
    </x:dataValidation>
    <x:dataValidation type="whole" operator="between" sqref="I6:J25">
      <x:formula1>0</x:formula1>
      <x:formula2>32</x:formula2>
    </x:dataValidation>
    <x:dataValidation type="list" sqref="N6:N25">
      <x:formula1>"是,否"</x:formula1>
    </x:dataValidation>
    <x:dataValidation type="list" sqref="O6:O25">
      <x:formula1>"愿意,观望,不愿意,未访谈"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2956bb33d74a5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977218-97BC-391D-AF68-711DEDA72B58}">
            <x14:dataBar gradient="1">
              <x14:cfvo type="min"/>
              <x14:cfvo type="max"/>
              <x14:fillColor rgb="FF2F4BE8"/>
            </x14:dataBar>
          </x14:cfRule>
          <xm:sqref>K6:K25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4" hidden="0" customWidth="1"/>
    <x:col min="10" max="10" width="28" hidden="0" customWidth="1"/>
    <x:col min="11" max="11" width="28" hidden="0" customWidth="1"/>
    <x:col min="12" max="12" width="28" hidden="0" customWidth="1"/>
    <x:col min="13" max="13" width="14" hidden="0" customWidth="1"/>
    <x:col min="14" max="14" width="11" hidden="0" customWidth="1"/>
    <x:col min="15" max="15" width="11" hidden="0" customWidth="1"/>
  </x:cols>
  <x:sheetData>
    <x:row r="1" ht="42" customHeight="1">
      <x:c r="A1" s="4" t="str">
        <x:v>周度记录</x:v>
      </x:c>
      <x:c r="B1" s="4" t="str">
        <x:v>周度记录</x:v>
      </x:c>
      <x:c r="C1" s="4" t="str">
        <x:v>周度记录</x:v>
      </x:c>
      <x:c r="D1" s="4" t="str">
        <x:v>周度记录</x:v>
      </x:c>
      <x:c r="E1" s="4" t="str">
        <x:v>周度记录</x:v>
      </x:c>
      <x:c r="F1" s="4" t="str">
        <x:v>周度记录</x:v>
      </x:c>
      <x:c r="G1" s="4" t="str">
        <x:v>周度记录</x:v>
      </x:c>
      <x:c r="H1" s="4" t="str">
        <x:v>周度记录</x:v>
      </x:c>
      <x:c r="I1" s="4" t="str">
        <x:v>周度记录</x:v>
      </x:c>
      <x:c r="J1" s="4" t="str">
        <x:v>周度记录</x:v>
      </x:c>
      <x:c r="K1" s="4" t="str">
        <x:v>周度记录</x:v>
      </x:c>
      <x:c r="L1" s="4" t="str">
        <x:v>周度记录</x:v>
      </x:c>
      <x:c r="M1" s="4" t="str">
        <x:v>周度记录</x:v>
      </x:c>
      <x:c r="N1" s="4" t="str">
        <x:v>周度记录</x:v>
      </x:c>
      <x:c r="O1" s="4" t="str">
        <x:v>周度记录</x:v>
      </x:c>
    </x:row>
    <x:row r="2" ht="42" customHeight="1">
      <x:c r="A2" s="4" t="str">
        <x:v>周度记录</x:v>
      </x:c>
      <x:c r="B2" s="4" t="str">
        <x:v>周度记录</x:v>
      </x:c>
      <x:c r="C2" s="4" t="str">
        <x:v>周度记录</x:v>
      </x:c>
      <x:c r="D2" s="4" t="str">
        <x:v>周度记录</x:v>
      </x:c>
      <x:c r="E2" s="4" t="str">
        <x:v>周度记录</x:v>
      </x:c>
      <x:c r="F2" s="4" t="str">
        <x:v>周度记录</x:v>
      </x:c>
      <x:c r="G2" s="4" t="str">
        <x:v>周度记录</x:v>
      </x:c>
      <x:c r="H2" s="4" t="str">
        <x:v>周度记录</x:v>
      </x:c>
      <x:c r="I2" s="4" t="str">
        <x:v>周度记录</x:v>
      </x:c>
      <x:c r="J2" s="4" t="str">
        <x:v>周度记录</x:v>
      </x:c>
      <x:c r="K2" s="4" t="str">
        <x:v>周度记录</x:v>
      </x:c>
      <x:c r="L2" s="4" t="str">
        <x:v>周度记录</x:v>
      </x:c>
      <x:c r="M2" s="4" t="str">
        <x:v>周度记录</x:v>
      </x:c>
      <x:c r="N2" s="4" t="str">
        <x:v>周度记录</x:v>
      </x:c>
      <x:c r="O2" s="4" t="str">
        <x:v>周度记录</x:v>
      </x:c>
    </x:row>
    <x:row r="3" ht="30" customHeight="1">
      <x:c r="A3" s="8" t="str">
        <x:v>预留 12 周 × 20 人。每周只需填学员 ID、实际证据、投入和阻塞；姓名、提交率、合格率自动生成。</x:v>
      </x:c>
      <x:c r="B3" s="8" t="str">
        <x:v>预留 12 周 × 20 人。每周只需填学员 ID、实际证据、投入和阻塞；姓名、提交率、合格率自动生成。</x:v>
      </x:c>
      <x:c r="C3" s="8" t="str">
        <x:v>预留 12 周 × 20 人。每周只需填学员 ID、实际证据、投入和阻塞；姓名、提交率、合格率自动生成。</x:v>
      </x:c>
      <x:c r="D3" s="8" t="str">
        <x:v>预留 12 周 × 20 人。每周只需填学员 ID、实际证据、投入和阻塞；姓名、提交率、合格率自动生成。</x:v>
      </x:c>
      <x:c r="E3" s="8" t="str">
        <x:v>预留 12 周 × 20 人。每周只需填学员 ID、实际证据、投入和阻塞；姓名、提交率、合格率自动生成。</x:v>
      </x:c>
      <x:c r="F3" s="8" t="str">
        <x:v>预留 12 周 × 20 人。每周只需填学员 ID、实际证据、投入和阻塞；姓名、提交率、合格率自动生成。</x:v>
      </x:c>
      <x:c r="G3" s="8" t="str">
        <x:v>预留 12 周 × 20 人。每周只需填学员 ID、实际证据、投入和阻塞；姓名、提交率、合格率自动生成。</x:v>
      </x:c>
      <x:c r="H3" s="8" t="str">
        <x:v>预留 12 周 × 20 人。每周只需填学员 ID、实际证据、投入和阻塞；姓名、提交率、合格率自动生成。</x:v>
      </x:c>
      <x:c r="I3" s="8" t="str">
        <x:v>预留 12 周 × 20 人。每周只需填学员 ID、实际证据、投入和阻塞；姓名、提交率、合格率自动生成。</x:v>
      </x:c>
      <x:c r="J3" s="8" t="str">
        <x:v>预留 12 周 × 20 人。每周只需填学员 ID、实际证据、投入和阻塞；姓名、提交率、合格率自动生成。</x:v>
      </x:c>
      <x:c r="K3" s="8" t="str">
        <x:v>预留 12 周 × 20 人。每周只需填学员 ID、实际证据、投入和阻塞；姓名、提交率、合格率自动生成。</x:v>
      </x:c>
      <x:c r="L3" s="8" t="str">
        <x:v>预留 12 周 × 20 人。每周只需填学员 ID、实际证据、投入和阻塞；姓名、提交率、合格率自动生成。</x:v>
      </x:c>
      <x:c r="M3" s="8" t="str">
        <x:v>预留 12 周 × 20 人。每周只需填学员 ID、实际证据、投入和阻塞；姓名、提交率、合格率自动生成。</x:v>
      </x:c>
      <x:c r="N3" s="8" t="str">
        <x:v>预留 12 周 × 20 人。每周只需填学员 ID、实际证据、投入和阻塞；姓名、提交率、合格率自动生成。</x:v>
      </x:c>
      <x:c r="O3" s="8" t="str">
        <x:v>预留 12 周 × 20 人。每周只需填学员 ID、实际证据、投入和阻塞；姓名、提交率、合格率自动生成。</x:v>
      </x:c>
    </x:row>
    <x:row r="5" ht="30" customHeight="1">
      <x:c r="A5" s="17" t="str">
        <x:v>周次</x:v>
      </x:c>
      <x:c r="B5" s="36" t="str">
        <x:v>序号</x:v>
      </x:c>
      <x:c r="C5" s="36" t="str">
        <x:v>学员ID</x:v>
      </x:c>
      <x:c r="D5" s="36" t="str">
        <x:v>姓名/昵称</x:v>
      </x:c>
      <x:c r="E5" s="36" t="str">
        <x:v>计划课节数</x:v>
      </x:c>
      <x:c r="F5" s="36" t="str">
        <x:v>证据提交数</x:v>
      </x:c>
      <x:c r="G5" s="36" t="str">
        <x:v>合格证据数</x:v>
      </x:c>
      <x:c r="H5" s="36" t="str">
        <x:v>投入小时</x:v>
      </x:c>
      <x:c r="I5" s="36" t="str">
        <x:v>阻塞类型</x:v>
      </x:c>
      <x:c r="J5" s="36" t="str">
        <x:v>阻塞说明</x:v>
      </x:c>
      <x:c r="K5" s="36" t="str">
        <x:v>教练动作</x:v>
      </x:c>
      <x:c r="L5" s="36" t="str">
        <x:v>下周承诺</x:v>
      </x:c>
      <x:c r="M5" s="36" t="str">
        <x:v>更新时间</x:v>
      </x:c>
      <x:c r="N5" s="36" t="str">
        <x:v>提交率</x:v>
      </x:c>
      <x:c r="O5" s="18" t="str">
        <x:v>合格率</x:v>
      </x:c>
    </x:row>
    <x:row r="6">
      <x:c r="A6" s="100" t="n">
        <x:v>1</x:v>
      </x:c>
      <x:c r="B6" s="101" t="n">
        <x:v>1</x:v>
      </x:c>
      <x:c r="C6" s="77"/>
      <x:c r="D6" s="77" t="str">
        <x:f>IFERROR(INDEX('学员台账'!$B$6:$B$25,MATCH(C6,'学员台账'!$A$6:$A$25,0)),"")</x:f>
      </x:c>
      <x:c r="E6" s="77" t="n">
        <x:v>3</x:v>
      </x:c>
      <x:c r="F6" s="77"/>
      <x:c r="G6" s="77"/>
      <x:c r="H6" s="77"/>
      <x:c r="I6" s="77"/>
      <x:c r="J6" s="77"/>
      <x:c r="K6" s="77"/>
      <x:c r="L6" s="77"/>
      <x:c r="M6" s="78"/>
      <x:c r="N6" s="80" t="str">
        <x:f>IF(C6="","",IFERROR(F6/E6,0))</x:f>
      </x:c>
      <x:c r="O6" s="106" t="str">
        <x:f>IF(C6="","",IFERROR(G6/F6,0))</x:f>
      </x:c>
    </x:row>
    <x:row r="7">
      <x:c r="A7" s="102" t="n">
        <x:v>1</x:v>
      </x:c>
      <x:c r="B7" s="103" t="n">
        <x:v>2</x:v>
      </x:c>
      <x:c r="C7" s="83"/>
      <x:c r="D7" s="83" t="str">
        <x:f>IFERROR(INDEX('学员台账'!$B$6:$B$25,MATCH(C7,'学员台账'!$A$6:$A$25,0)),"")</x:f>
      </x:c>
      <x:c r="E7" s="83" t="n">
        <x:v>3</x:v>
      </x:c>
      <x:c r="F7" s="83"/>
      <x:c r="G7" s="83"/>
      <x:c r="H7" s="83"/>
      <x:c r="I7" s="83"/>
      <x:c r="J7" s="83"/>
      <x:c r="K7" s="83"/>
      <x:c r="L7" s="83"/>
      <x:c r="M7" s="84"/>
      <x:c r="N7" s="86" t="str">
        <x:f>IF(C7="","",IFERROR(F7/E7,0))</x:f>
      </x:c>
      <x:c r="O7" s="107" t="str">
        <x:f>IF(C7="","",IFERROR(G7/F7,0))</x:f>
      </x:c>
    </x:row>
    <x:row r="8">
      <x:c r="A8" s="102" t="n">
        <x:v>1</x:v>
      </x:c>
      <x:c r="B8" s="103" t="n">
        <x:v>3</x:v>
      </x:c>
      <x:c r="C8" s="83"/>
      <x:c r="D8" s="83" t="str">
        <x:f>IFERROR(INDEX('学员台账'!$B$6:$B$25,MATCH(C8,'学员台账'!$A$6:$A$25,0)),"")</x:f>
      </x:c>
      <x:c r="E8" s="83" t="n">
        <x:v>3</x:v>
      </x:c>
      <x:c r="F8" s="83"/>
      <x:c r="G8" s="83"/>
      <x:c r="H8" s="83"/>
      <x:c r="I8" s="83"/>
      <x:c r="J8" s="83"/>
      <x:c r="K8" s="83"/>
      <x:c r="L8" s="83"/>
      <x:c r="M8" s="84"/>
      <x:c r="N8" s="86" t="str">
        <x:f>IF(C8="","",IFERROR(F8/E8,0))</x:f>
      </x:c>
      <x:c r="O8" s="107" t="str">
        <x:f>IF(C8="","",IFERROR(G8/F8,0))</x:f>
      </x:c>
    </x:row>
    <x:row r="9">
      <x:c r="A9" s="102" t="n">
        <x:v>1</x:v>
      </x:c>
      <x:c r="B9" s="103" t="n">
        <x:v>4</x:v>
      </x:c>
      <x:c r="C9" s="83"/>
      <x:c r="D9" s="83" t="str">
        <x:f>IFERROR(INDEX('学员台账'!$B$6:$B$25,MATCH(C9,'学员台账'!$A$6:$A$25,0)),"")</x:f>
      </x:c>
      <x:c r="E9" s="83" t="n">
        <x:v>3</x:v>
      </x:c>
      <x:c r="F9" s="83"/>
      <x:c r="G9" s="83"/>
      <x:c r="H9" s="83"/>
      <x:c r="I9" s="83"/>
      <x:c r="J9" s="83"/>
      <x:c r="K9" s="83"/>
      <x:c r="L9" s="83"/>
      <x:c r="M9" s="84"/>
      <x:c r="N9" s="86" t="str">
        <x:f>IF(C9="","",IFERROR(F9/E9,0))</x:f>
      </x:c>
      <x:c r="O9" s="107" t="str">
        <x:f>IF(C9="","",IFERROR(G9/F9,0))</x:f>
      </x:c>
    </x:row>
    <x:row r="10">
      <x:c r="A10" s="102" t="n">
        <x:v>1</x:v>
      </x:c>
      <x:c r="B10" s="103" t="n">
        <x:v>5</x:v>
      </x:c>
      <x:c r="C10" s="83"/>
      <x:c r="D10" s="83" t="str">
        <x:f>IFERROR(INDEX('学员台账'!$B$6:$B$25,MATCH(C10,'学员台账'!$A$6:$A$25,0)),"")</x:f>
      </x:c>
      <x:c r="E10" s="83" t="n">
        <x:v>3</x:v>
      </x:c>
      <x:c r="F10" s="83"/>
      <x:c r="G10" s="83"/>
      <x:c r="H10" s="83"/>
      <x:c r="I10" s="83"/>
      <x:c r="J10" s="83"/>
      <x:c r="K10" s="83"/>
      <x:c r="L10" s="83"/>
      <x:c r="M10" s="84"/>
      <x:c r="N10" s="86" t="str">
        <x:f>IF(C10="","",IFERROR(F10/E10,0))</x:f>
      </x:c>
      <x:c r="O10" s="107" t="str">
        <x:f>IF(C10="","",IFERROR(G10/F10,0))</x:f>
      </x:c>
    </x:row>
    <x:row r="11">
      <x:c r="A11" s="102" t="n">
        <x:v>1</x:v>
      </x:c>
      <x:c r="B11" s="103" t="n">
        <x:v>6</x:v>
      </x:c>
      <x:c r="C11" s="83"/>
      <x:c r="D11" s="83" t="str">
        <x:f>IFERROR(INDEX('学员台账'!$B$6:$B$25,MATCH(C11,'学员台账'!$A$6:$A$25,0)),"")</x:f>
      </x:c>
      <x:c r="E11" s="83" t="n">
        <x:v>3</x:v>
      </x:c>
      <x:c r="F11" s="83"/>
      <x:c r="G11" s="83"/>
      <x:c r="H11" s="83"/>
      <x:c r="I11" s="83"/>
      <x:c r="J11" s="83"/>
      <x:c r="K11" s="83"/>
      <x:c r="L11" s="83"/>
      <x:c r="M11" s="84"/>
      <x:c r="N11" s="86" t="str">
        <x:f>IF(C11="","",IFERROR(F11/E11,0))</x:f>
      </x:c>
      <x:c r="O11" s="107" t="str">
        <x:f>IF(C11="","",IFERROR(G11/F11,0))</x:f>
      </x:c>
    </x:row>
    <x:row r="12">
      <x:c r="A12" s="102" t="n">
        <x:v>1</x:v>
      </x:c>
      <x:c r="B12" s="103" t="n">
        <x:v>7</x:v>
      </x:c>
      <x:c r="C12" s="83"/>
      <x:c r="D12" s="83" t="str">
        <x:f>IFERROR(INDEX('学员台账'!$B$6:$B$25,MATCH(C12,'学员台账'!$A$6:$A$25,0)),"")</x:f>
      </x:c>
      <x:c r="E12" s="83" t="n">
        <x:v>3</x:v>
      </x:c>
      <x:c r="F12" s="83"/>
      <x:c r="G12" s="83"/>
      <x:c r="H12" s="83"/>
      <x:c r="I12" s="83"/>
      <x:c r="J12" s="83"/>
      <x:c r="K12" s="83"/>
      <x:c r="L12" s="83"/>
      <x:c r="M12" s="84"/>
      <x:c r="N12" s="86" t="str">
        <x:f>IF(C12="","",IFERROR(F12/E12,0))</x:f>
      </x:c>
      <x:c r="O12" s="107" t="str">
        <x:f>IF(C12="","",IFERROR(G12/F12,0))</x:f>
      </x:c>
    </x:row>
    <x:row r="13">
      <x:c r="A13" s="102" t="n">
        <x:v>1</x:v>
      </x:c>
      <x:c r="B13" s="103" t="n">
        <x:v>8</x:v>
      </x:c>
      <x:c r="C13" s="83"/>
      <x:c r="D13" s="83" t="str">
        <x:f>IFERROR(INDEX('学员台账'!$B$6:$B$25,MATCH(C13,'学员台账'!$A$6:$A$25,0)),"")</x:f>
      </x:c>
      <x:c r="E13" s="83" t="n">
        <x:v>3</x:v>
      </x:c>
      <x:c r="F13" s="83"/>
      <x:c r="G13" s="83"/>
      <x:c r="H13" s="83"/>
      <x:c r="I13" s="83"/>
      <x:c r="J13" s="83"/>
      <x:c r="K13" s="83"/>
      <x:c r="L13" s="83"/>
      <x:c r="M13" s="84"/>
      <x:c r="N13" s="86" t="str">
        <x:f>IF(C13="","",IFERROR(F13/E13,0))</x:f>
      </x:c>
      <x:c r="O13" s="107" t="str">
        <x:f>IF(C13="","",IFERROR(G13/F13,0))</x:f>
      </x:c>
    </x:row>
    <x:row r="14">
      <x:c r="A14" s="102" t="n">
        <x:v>1</x:v>
      </x:c>
      <x:c r="B14" s="103" t="n">
        <x:v>9</x:v>
      </x:c>
      <x:c r="C14" s="83"/>
      <x:c r="D14" s="83" t="str">
        <x:f>IFERROR(INDEX('学员台账'!$B$6:$B$25,MATCH(C14,'学员台账'!$A$6:$A$25,0)),"")</x:f>
      </x:c>
      <x:c r="E14" s="83" t="n">
        <x:v>3</x:v>
      </x:c>
      <x:c r="F14" s="83"/>
      <x:c r="G14" s="83"/>
      <x:c r="H14" s="83"/>
      <x:c r="I14" s="83"/>
      <x:c r="J14" s="83"/>
      <x:c r="K14" s="83"/>
      <x:c r="L14" s="83"/>
      <x:c r="M14" s="84"/>
      <x:c r="N14" s="86" t="str">
        <x:f>IF(C14="","",IFERROR(F14/E14,0))</x:f>
      </x:c>
      <x:c r="O14" s="107" t="str">
        <x:f>IF(C14="","",IFERROR(G14/F14,0))</x:f>
      </x:c>
    </x:row>
    <x:row r="15">
      <x:c r="A15" s="102" t="n">
        <x:v>1</x:v>
      </x:c>
      <x:c r="B15" s="103" t="n">
        <x:v>10</x:v>
      </x:c>
      <x:c r="C15" s="83"/>
      <x:c r="D15" s="83" t="str">
        <x:f>IFERROR(INDEX('学员台账'!$B$6:$B$25,MATCH(C15,'学员台账'!$A$6:$A$25,0)),"")</x:f>
      </x:c>
      <x:c r="E15" s="83" t="n">
        <x:v>3</x:v>
      </x:c>
      <x:c r="F15" s="83"/>
      <x:c r="G15" s="83"/>
      <x:c r="H15" s="83"/>
      <x:c r="I15" s="83"/>
      <x:c r="J15" s="83"/>
      <x:c r="K15" s="83"/>
      <x:c r="L15" s="83"/>
      <x:c r="M15" s="84"/>
      <x:c r="N15" s="86" t="str">
        <x:f>IF(C15="","",IFERROR(F15/E15,0))</x:f>
      </x:c>
      <x:c r="O15" s="107" t="str">
        <x:f>IF(C15="","",IFERROR(G15/F15,0))</x:f>
      </x:c>
    </x:row>
    <x:row r="16">
      <x:c r="A16" s="102" t="n">
        <x:v>1</x:v>
      </x:c>
      <x:c r="B16" s="103" t="n">
        <x:v>11</x:v>
      </x:c>
      <x:c r="C16" s="83"/>
      <x:c r="D16" s="83" t="str">
        <x:f>IFERROR(INDEX('学员台账'!$B$6:$B$25,MATCH(C16,'学员台账'!$A$6:$A$25,0)),"")</x:f>
      </x:c>
      <x:c r="E16" s="83" t="n">
        <x:v>3</x:v>
      </x:c>
      <x:c r="F16" s="83"/>
      <x:c r="G16" s="83"/>
      <x:c r="H16" s="83"/>
      <x:c r="I16" s="83"/>
      <x:c r="J16" s="83"/>
      <x:c r="K16" s="83"/>
      <x:c r="L16" s="83"/>
      <x:c r="M16" s="84"/>
      <x:c r="N16" s="86" t="str">
        <x:f>IF(C16="","",IFERROR(F16/E16,0))</x:f>
      </x:c>
      <x:c r="O16" s="107" t="str">
        <x:f>IF(C16="","",IFERROR(G16/F16,0))</x:f>
      </x:c>
    </x:row>
    <x:row r="17">
      <x:c r="A17" s="102" t="n">
        <x:v>1</x:v>
      </x:c>
      <x:c r="B17" s="103" t="n">
        <x:v>12</x:v>
      </x:c>
      <x:c r="C17" s="83"/>
      <x:c r="D17" s="83" t="str">
        <x:f>IFERROR(INDEX('学员台账'!$B$6:$B$25,MATCH(C17,'学员台账'!$A$6:$A$25,0)),"")</x:f>
      </x:c>
      <x:c r="E17" s="83" t="n">
        <x:v>3</x:v>
      </x:c>
      <x:c r="F17" s="83"/>
      <x:c r="G17" s="83"/>
      <x:c r="H17" s="83"/>
      <x:c r="I17" s="83"/>
      <x:c r="J17" s="83"/>
      <x:c r="K17" s="83"/>
      <x:c r="L17" s="83"/>
      <x:c r="M17" s="84"/>
      <x:c r="N17" s="86" t="str">
        <x:f>IF(C17="","",IFERROR(F17/E17,0))</x:f>
      </x:c>
      <x:c r="O17" s="107" t="str">
        <x:f>IF(C17="","",IFERROR(G17/F17,0))</x:f>
      </x:c>
    </x:row>
    <x:row r="18">
      <x:c r="A18" s="102" t="n">
        <x:v>1</x:v>
      </x:c>
      <x:c r="B18" s="103" t="n">
        <x:v>13</x:v>
      </x:c>
      <x:c r="C18" s="83"/>
      <x:c r="D18" s="83" t="str">
        <x:f>IFERROR(INDEX('学员台账'!$B$6:$B$25,MATCH(C18,'学员台账'!$A$6:$A$25,0)),"")</x:f>
      </x:c>
      <x:c r="E18" s="83" t="n">
        <x:v>3</x:v>
      </x:c>
      <x:c r="F18" s="83"/>
      <x:c r="G18" s="83"/>
      <x:c r="H18" s="83"/>
      <x:c r="I18" s="83"/>
      <x:c r="J18" s="83"/>
      <x:c r="K18" s="83"/>
      <x:c r="L18" s="83"/>
      <x:c r="M18" s="84"/>
      <x:c r="N18" s="86" t="str">
        <x:f>IF(C18="","",IFERROR(F18/E18,0))</x:f>
      </x:c>
      <x:c r="O18" s="107" t="str">
        <x:f>IF(C18="","",IFERROR(G18/F18,0))</x:f>
      </x:c>
    </x:row>
    <x:row r="19">
      <x:c r="A19" s="102" t="n">
        <x:v>1</x:v>
      </x:c>
      <x:c r="B19" s="103" t="n">
        <x:v>14</x:v>
      </x:c>
      <x:c r="C19" s="83"/>
      <x:c r="D19" s="83" t="str">
        <x:f>IFERROR(INDEX('学员台账'!$B$6:$B$25,MATCH(C19,'学员台账'!$A$6:$A$25,0)),"")</x:f>
      </x:c>
      <x:c r="E19" s="83" t="n">
        <x:v>3</x:v>
      </x:c>
      <x:c r="F19" s="83"/>
      <x:c r="G19" s="83"/>
      <x:c r="H19" s="83"/>
      <x:c r="I19" s="83"/>
      <x:c r="J19" s="83"/>
      <x:c r="K19" s="83"/>
      <x:c r="L19" s="83"/>
      <x:c r="M19" s="84"/>
      <x:c r="N19" s="86" t="str">
        <x:f>IF(C19="","",IFERROR(F19/E19,0))</x:f>
      </x:c>
      <x:c r="O19" s="107" t="str">
        <x:f>IF(C19="","",IFERROR(G19/F19,0))</x:f>
      </x:c>
    </x:row>
    <x:row r="20">
      <x:c r="A20" s="102" t="n">
        <x:v>1</x:v>
      </x:c>
      <x:c r="B20" s="103" t="n">
        <x:v>15</x:v>
      </x:c>
      <x:c r="C20" s="83"/>
      <x:c r="D20" s="83" t="str">
        <x:f>IFERROR(INDEX('学员台账'!$B$6:$B$25,MATCH(C20,'学员台账'!$A$6:$A$25,0)),"")</x:f>
      </x:c>
      <x:c r="E20" s="83" t="n">
        <x:v>3</x:v>
      </x:c>
      <x:c r="F20" s="83"/>
      <x:c r="G20" s="83"/>
      <x:c r="H20" s="83"/>
      <x:c r="I20" s="83"/>
      <x:c r="J20" s="83"/>
      <x:c r="K20" s="83"/>
      <x:c r="L20" s="83"/>
      <x:c r="M20" s="84"/>
      <x:c r="N20" s="86" t="str">
        <x:f>IF(C20="","",IFERROR(F20/E20,0))</x:f>
      </x:c>
      <x:c r="O20" s="107" t="str">
        <x:f>IF(C20="","",IFERROR(G20/F20,0))</x:f>
      </x:c>
    </x:row>
    <x:row r="21">
      <x:c r="A21" s="102" t="n">
        <x:v>1</x:v>
      </x:c>
      <x:c r="B21" s="103" t="n">
        <x:v>16</x:v>
      </x:c>
      <x:c r="C21" s="83"/>
      <x:c r="D21" s="83" t="str">
        <x:f>IFERROR(INDEX('学员台账'!$B$6:$B$25,MATCH(C21,'学员台账'!$A$6:$A$25,0)),"")</x:f>
      </x:c>
      <x:c r="E21" s="83" t="n">
        <x:v>3</x:v>
      </x:c>
      <x:c r="F21" s="83"/>
      <x:c r="G21" s="83"/>
      <x:c r="H21" s="83"/>
      <x:c r="I21" s="83"/>
      <x:c r="J21" s="83"/>
      <x:c r="K21" s="83"/>
      <x:c r="L21" s="83"/>
      <x:c r="M21" s="84"/>
      <x:c r="N21" s="86" t="str">
        <x:f>IF(C21="","",IFERROR(F21/E21,0))</x:f>
      </x:c>
      <x:c r="O21" s="107" t="str">
        <x:f>IF(C21="","",IFERROR(G21/F21,0))</x:f>
      </x:c>
    </x:row>
    <x:row r="22">
      <x:c r="A22" s="102" t="n">
        <x:v>1</x:v>
      </x:c>
      <x:c r="B22" s="103" t="n">
        <x:v>17</x:v>
      </x:c>
      <x:c r="C22" s="83"/>
      <x:c r="D22" s="83" t="str">
        <x:f>IFERROR(INDEX('学员台账'!$B$6:$B$25,MATCH(C22,'学员台账'!$A$6:$A$25,0)),"")</x:f>
      </x:c>
      <x:c r="E22" s="83" t="n">
        <x:v>3</x:v>
      </x:c>
      <x:c r="F22" s="83"/>
      <x:c r="G22" s="83"/>
      <x:c r="H22" s="83"/>
      <x:c r="I22" s="83"/>
      <x:c r="J22" s="83"/>
      <x:c r="K22" s="83"/>
      <x:c r="L22" s="83"/>
      <x:c r="M22" s="84"/>
      <x:c r="N22" s="86" t="str">
        <x:f>IF(C22="","",IFERROR(F22/E22,0))</x:f>
      </x:c>
      <x:c r="O22" s="107" t="str">
        <x:f>IF(C22="","",IFERROR(G22/F22,0))</x:f>
      </x:c>
    </x:row>
    <x:row r="23">
      <x:c r="A23" s="102" t="n">
        <x:v>1</x:v>
      </x:c>
      <x:c r="B23" s="103" t="n">
        <x:v>18</x:v>
      </x:c>
      <x:c r="C23" s="83"/>
      <x:c r="D23" s="83" t="str">
        <x:f>IFERROR(INDEX('学员台账'!$B$6:$B$25,MATCH(C23,'学员台账'!$A$6:$A$25,0)),"")</x:f>
      </x:c>
      <x:c r="E23" s="83" t="n">
        <x:v>3</x:v>
      </x:c>
      <x:c r="F23" s="83"/>
      <x:c r="G23" s="83"/>
      <x:c r="H23" s="83"/>
      <x:c r="I23" s="83"/>
      <x:c r="J23" s="83"/>
      <x:c r="K23" s="83"/>
      <x:c r="L23" s="83"/>
      <x:c r="M23" s="84"/>
      <x:c r="N23" s="86" t="str">
        <x:f>IF(C23="","",IFERROR(F23/E23,0))</x:f>
      </x:c>
      <x:c r="O23" s="107" t="str">
        <x:f>IF(C23="","",IFERROR(G23/F23,0))</x:f>
      </x:c>
    </x:row>
    <x:row r="24">
      <x:c r="A24" s="102" t="n">
        <x:v>1</x:v>
      </x:c>
      <x:c r="B24" s="103" t="n">
        <x:v>19</x:v>
      </x:c>
      <x:c r="C24" s="83"/>
      <x:c r="D24" s="83" t="str">
        <x:f>IFERROR(INDEX('学员台账'!$B$6:$B$25,MATCH(C24,'学员台账'!$A$6:$A$25,0)),"")</x:f>
      </x:c>
      <x:c r="E24" s="83" t="n">
        <x:v>3</x:v>
      </x:c>
      <x:c r="F24" s="83"/>
      <x:c r="G24" s="83"/>
      <x:c r="H24" s="83"/>
      <x:c r="I24" s="83"/>
      <x:c r="J24" s="83"/>
      <x:c r="K24" s="83"/>
      <x:c r="L24" s="83"/>
      <x:c r="M24" s="84"/>
      <x:c r="N24" s="86" t="str">
        <x:f>IF(C24="","",IFERROR(F24/E24,0))</x:f>
      </x:c>
      <x:c r="O24" s="107" t="str">
        <x:f>IF(C24="","",IFERROR(G24/F24,0))</x:f>
      </x:c>
    </x:row>
    <x:row r="25">
      <x:c r="A25" s="102" t="n">
        <x:v>1</x:v>
      </x:c>
      <x:c r="B25" s="103" t="n">
        <x:v>20</x:v>
      </x:c>
      <x:c r="C25" s="83"/>
      <x:c r="D25" s="83" t="str">
        <x:f>IFERROR(INDEX('学员台账'!$B$6:$B$25,MATCH(C25,'学员台账'!$A$6:$A$25,0)),"")</x:f>
      </x:c>
      <x:c r="E25" s="83" t="n">
        <x:v>3</x:v>
      </x:c>
      <x:c r="F25" s="83"/>
      <x:c r="G25" s="83"/>
      <x:c r="H25" s="83"/>
      <x:c r="I25" s="83"/>
      <x:c r="J25" s="83"/>
      <x:c r="K25" s="83"/>
      <x:c r="L25" s="83"/>
      <x:c r="M25" s="84"/>
      <x:c r="N25" s="86" t="str">
        <x:f>IF(C25="","",IFERROR(F25/E25,0))</x:f>
      </x:c>
      <x:c r="O25" s="107" t="str">
        <x:f>IF(C25="","",IFERROR(G25/F25,0))</x:f>
      </x:c>
    </x:row>
    <x:row r="26">
      <x:c r="A26" s="102" t="n">
        <x:v>2</x:v>
      </x:c>
      <x:c r="B26" s="103" t="n">
        <x:v>1</x:v>
      </x:c>
      <x:c r="C26" s="83"/>
      <x:c r="D26" s="83" t="str">
        <x:f>IFERROR(INDEX('学员台账'!$B$6:$B$25,MATCH(C26,'学员台账'!$A$6:$A$25,0)),"")</x:f>
      </x:c>
      <x:c r="E26" s="83" t="n">
        <x:v>3</x:v>
      </x:c>
      <x:c r="F26" s="83"/>
      <x:c r="G26" s="83"/>
      <x:c r="H26" s="83"/>
      <x:c r="I26" s="83"/>
      <x:c r="J26" s="83"/>
      <x:c r="K26" s="83"/>
      <x:c r="L26" s="83"/>
      <x:c r="M26" s="84"/>
      <x:c r="N26" s="86" t="str">
        <x:f>IF(C26="","",IFERROR(F26/E26,0))</x:f>
      </x:c>
      <x:c r="O26" s="107" t="str">
        <x:f>IF(C26="","",IFERROR(G26/F26,0))</x:f>
      </x:c>
    </x:row>
    <x:row r="27">
      <x:c r="A27" s="102" t="n">
        <x:v>2</x:v>
      </x:c>
      <x:c r="B27" s="103" t="n">
        <x:v>2</x:v>
      </x:c>
      <x:c r="C27" s="83"/>
      <x:c r="D27" s="83" t="str">
        <x:f>IFERROR(INDEX('学员台账'!$B$6:$B$25,MATCH(C27,'学员台账'!$A$6:$A$25,0)),"")</x:f>
      </x:c>
      <x:c r="E27" s="83" t="n">
        <x:v>3</x:v>
      </x:c>
      <x:c r="F27" s="83"/>
      <x:c r="G27" s="83"/>
      <x:c r="H27" s="83"/>
      <x:c r="I27" s="83"/>
      <x:c r="J27" s="83"/>
      <x:c r="K27" s="83"/>
      <x:c r="L27" s="83"/>
      <x:c r="M27" s="84"/>
      <x:c r="N27" s="86" t="str">
        <x:f>IF(C27="","",IFERROR(F27/E27,0))</x:f>
      </x:c>
      <x:c r="O27" s="107" t="str">
        <x:f>IF(C27="","",IFERROR(G27/F27,0))</x:f>
      </x:c>
    </x:row>
    <x:row r="28">
      <x:c r="A28" s="102" t="n">
        <x:v>2</x:v>
      </x:c>
      <x:c r="B28" s="103" t="n">
        <x:v>3</x:v>
      </x:c>
      <x:c r="C28" s="83"/>
      <x:c r="D28" s="83" t="str">
        <x:f>IFERROR(INDEX('学员台账'!$B$6:$B$25,MATCH(C28,'学员台账'!$A$6:$A$25,0)),"")</x:f>
      </x:c>
      <x:c r="E28" s="83" t="n">
        <x:v>3</x:v>
      </x:c>
      <x:c r="F28" s="83"/>
      <x:c r="G28" s="83"/>
      <x:c r="H28" s="83"/>
      <x:c r="I28" s="83"/>
      <x:c r="J28" s="83"/>
      <x:c r="K28" s="83"/>
      <x:c r="L28" s="83"/>
      <x:c r="M28" s="84"/>
      <x:c r="N28" s="86" t="str">
        <x:f>IF(C28="","",IFERROR(F28/E28,0))</x:f>
      </x:c>
      <x:c r="O28" s="107" t="str">
        <x:f>IF(C28="","",IFERROR(G28/F28,0))</x:f>
      </x:c>
    </x:row>
    <x:row r="29">
      <x:c r="A29" s="102" t="n">
        <x:v>2</x:v>
      </x:c>
      <x:c r="B29" s="103" t="n">
        <x:v>4</x:v>
      </x:c>
      <x:c r="C29" s="83"/>
      <x:c r="D29" s="83" t="str">
        <x:f>IFERROR(INDEX('学员台账'!$B$6:$B$25,MATCH(C29,'学员台账'!$A$6:$A$25,0)),"")</x:f>
      </x:c>
      <x:c r="E29" s="83" t="n">
        <x:v>3</x:v>
      </x:c>
      <x:c r="F29" s="83"/>
      <x:c r="G29" s="83"/>
      <x:c r="H29" s="83"/>
      <x:c r="I29" s="83"/>
      <x:c r="J29" s="83"/>
      <x:c r="K29" s="83"/>
      <x:c r="L29" s="83"/>
      <x:c r="M29" s="84"/>
      <x:c r="N29" s="86" t="str">
        <x:f>IF(C29="","",IFERROR(F29/E29,0))</x:f>
      </x:c>
      <x:c r="O29" s="107" t="str">
        <x:f>IF(C29="","",IFERROR(G29/F29,0))</x:f>
      </x:c>
    </x:row>
    <x:row r="30">
      <x:c r="A30" s="102" t="n">
        <x:v>2</x:v>
      </x:c>
      <x:c r="B30" s="103" t="n">
        <x:v>5</x:v>
      </x:c>
      <x:c r="C30" s="83"/>
      <x:c r="D30" s="83" t="str">
        <x:f>IFERROR(INDEX('学员台账'!$B$6:$B$25,MATCH(C30,'学员台账'!$A$6:$A$25,0)),"")</x:f>
      </x:c>
      <x:c r="E30" s="83" t="n">
        <x:v>3</x:v>
      </x:c>
      <x:c r="F30" s="83"/>
      <x:c r="G30" s="83"/>
      <x:c r="H30" s="83"/>
      <x:c r="I30" s="83"/>
      <x:c r="J30" s="83"/>
      <x:c r="K30" s="83"/>
      <x:c r="L30" s="83"/>
      <x:c r="M30" s="84"/>
      <x:c r="N30" s="86" t="str">
        <x:f>IF(C30="","",IFERROR(F30/E30,0))</x:f>
      </x:c>
      <x:c r="O30" s="107" t="str">
        <x:f>IF(C30="","",IFERROR(G30/F30,0))</x:f>
      </x:c>
    </x:row>
    <x:row r="31">
      <x:c r="A31" s="102" t="n">
        <x:v>2</x:v>
      </x:c>
      <x:c r="B31" s="103" t="n">
        <x:v>6</x:v>
      </x:c>
      <x:c r="C31" s="83"/>
      <x:c r="D31" s="83" t="str">
        <x:f>IFERROR(INDEX('学员台账'!$B$6:$B$25,MATCH(C31,'学员台账'!$A$6:$A$25,0)),"")</x:f>
      </x:c>
      <x:c r="E31" s="83" t="n">
        <x:v>3</x:v>
      </x:c>
      <x:c r="F31" s="83"/>
      <x:c r="G31" s="83"/>
      <x:c r="H31" s="83"/>
      <x:c r="I31" s="83"/>
      <x:c r="J31" s="83"/>
      <x:c r="K31" s="83"/>
      <x:c r="L31" s="83"/>
      <x:c r="M31" s="84"/>
      <x:c r="N31" s="86" t="str">
        <x:f>IF(C31="","",IFERROR(F31/E31,0))</x:f>
      </x:c>
      <x:c r="O31" s="107" t="str">
        <x:f>IF(C31="","",IFERROR(G31/F31,0))</x:f>
      </x:c>
    </x:row>
    <x:row r="32">
      <x:c r="A32" s="102" t="n">
        <x:v>2</x:v>
      </x:c>
      <x:c r="B32" s="103" t="n">
        <x:v>7</x:v>
      </x:c>
      <x:c r="C32" s="83"/>
      <x:c r="D32" s="83" t="str">
        <x:f>IFERROR(INDEX('学员台账'!$B$6:$B$25,MATCH(C32,'学员台账'!$A$6:$A$25,0)),"")</x:f>
      </x:c>
      <x:c r="E32" s="83" t="n">
        <x:v>3</x:v>
      </x:c>
      <x:c r="F32" s="83"/>
      <x:c r="G32" s="83"/>
      <x:c r="H32" s="83"/>
      <x:c r="I32" s="83"/>
      <x:c r="J32" s="83"/>
      <x:c r="K32" s="83"/>
      <x:c r="L32" s="83"/>
      <x:c r="M32" s="84"/>
      <x:c r="N32" s="86" t="str">
        <x:f>IF(C32="","",IFERROR(F32/E32,0))</x:f>
      </x:c>
      <x:c r="O32" s="107" t="str">
        <x:f>IF(C32="","",IFERROR(G32/F32,0))</x:f>
      </x:c>
    </x:row>
    <x:row r="33">
      <x:c r="A33" s="102" t="n">
        <x:v>2</x:v>
      </x:c>
      <x:c r="B33" s="103" t="n">
        <x:v>8</x:v>
      </x:c>
      <x:c r="C33" s="83"/>
      <x:c r="D33" s="83" t="str">
        <x:f>IFERROR(INDEX('学员台账'!$B$6:$B$25,MATCH(C33,'学员台账'!$A$6:$A$25,0)),"")</x:f>
      </x:c>
      <x:c r="E33" s="83" t="n">
        <x:v>3</x:v>
      </x:c>
      <x:c r="F33" s="83"/>
      <x:c r="G33" s="83"/>
      <x:c r="H33" s="83"/>
      <x:c r="I33" s="83"/>
      <x:c r="J33" s="83"/>
      <x:c r="K33" s="83"/>
      <x:c r="L33" s="83"/>
      <x:c r="M33" s="84"/>
      <x:c r="N33" s="86" t="str">
        <x:f>IF(C33="","",IFERROR(F33/E33,0))</x:f>
      </x:c>
      <x:c r="O33" s="107" t="str">
        <x:f>IF(C33="","",IFERROR(G33/F33,0))</x:f>
      </x:c>
    </x:row>
    <x:row r="34">
      <x:c r="A34" s="102" t="n">
        <x:v>2</x:v>
      </x:c>
      <x:c r="B34" s="103" t="n">
        <x:v>9</x:v>
      </x:c>
      <x:c r="C34" s="83"/>
      <x:c r="D34" s="83" t="str">
        <x:f>IFERROR(INDEX('学员台账'!$B$6:$B$25,MATCH(C34,'学员台账'!$A$6:$A$25,0)),"")</x:f>
      </x:c>
      <x:c r="E34" s="83" t="n">
        <x:v>3</x:v>
      </x:c>
      <x:c r="F34" s="83"/>
      <x:c r="G34" s="83"/>
      <x:c r="H34" s="83"/>
      <x:c r="I34" s="83"/>
      <x:c r="J34" s="83"/>
      <x:c r="K34" s="83"/>
      <x:c r="L34" s="83"/>
      <x:c r="M34" s="84"/>
      <x:c r="N34" s="86" t="str">
        <x:f>IF(C34="","",IFERROR(F34/E34,0))</x:f>
      </x:c>
      <x:c r="O34" s="107" t="str">
        <x:f>IF(C34="","",IFERROR(G34/F34,0))</x:f>
      </x:c>
    </x:row>
    <x:row r="35">
      <x:c r="A35" s="102" t="n">
        <x:v>2</x:v>
      </x:c>
      <x:c r="B35" s="103" t="n">
        <x:v>10</x:v>
      </x:c>
      <x:c r="C35" s="83"/>
      <x:c r="D35" s="83" t="str">
        <x:f>IFERROR(INDEX('学员台账'!$B$6:$B$25,MATCH(C35,'学员台账'!$A$6:$A$25,0)),"")</x:f>
      </x:c>
      <x:c r="E35" s="83" t="n">
        <x:v>3</x:v>
      </x:c>
      <x:c r="F35" s="83"/>
      <x:c r="G35" s="83"/>
      <x:c r="H35" s="83"/>
      <x:c r="I35" s="83"/>
      <x:c r="J35" s="83"/>
      <x:c r="K35" s="83"/>
      <x:c r="L35" s="83"/>
      <x:c r="M35" s="84"/>
      <x:c r="N35" s="86" t="str">
        <x:f>IF(C35="","",IFERROR(F35/E35,0))</x:f>
      </x:c>
      <x:c r="O35" s="107" t="str">
        <x:f>IF(C35="","",IFERROR(G35/F35,0))</x:f>
      </x:c>
    </x:row>
    <x:row r="36">
      <x:c r="A36" s="102" t="n">
        <x:v>2</x:v>
      </x:c>
      <x:c r="B36" s="103" t="n">
        <x:v>11</x:v>
      </x:c>
      <x:c r="C36" s="83"/>
      <x:c r="D36" s="83" t="str">
        <x:f>IFERROR(INDEX('学员台账'!$B$6:$B$25,MATCH(C36,'学员台账'!$A$6:$A$25,0)),"")</x:f>
      </x:c>
      <x:c r="E36" s="83" t="n">
        <x:v>3</x:v>
      </x:c>
      <x:c r="F36" s="83"/>
      <x:c r="G36" s="83"/>
      <x:c r="H36" s="83"/>
      <x:c r="I36" s="83"/>
      <x:c r="J36" s="83"/>
      <x:c r="K36" s="83"/>
      <x:c r="L36" s="83"/>
      <x:c r="M36" s="84"/>
      <x:c r="N36" s="86" t="str">
        <x:f>IF(C36="","",IFERROR(F36/E36,0))</x:f>
      </x:c>
      <x:c r="O36" s="107" t="str">
        <x:f>IF(C36="","",IFERROR(G36/F36,0))</x:f>
      </x:c>
    </x:row>
    <x:row r="37">
      <x:c r="A37" s="102" t="n">
        <x:v>2</x:v>
      </x:c>
      <x:c r="B37" s="103" t="n">
        <x:v>12</x:v>
      </x:c>
      <x:c r="C37" s="83"/>
      <x:c r="D37" s="83" t="str">
        <x:f>IFERROR(INDEX('学员台账'!$B$6:$B$25,MATCH(C37,'学员台账'!$A$6:$A$25,0)),"")</x:f>
      </x:c>
      <x:c r="E37" s="83" t="n">
        <x:v>3</x:v>
      </x:c>
      <x:c r="F37" s="83"/>
      <x:c r="G37" s="83"/>
      <x:c r="H37" s="83"/>
      <x:c r="I37" s="83"/>
      <x:c r="J37" s="83"/>
      <x:c r="K37" s="83"/>
      <x:c r="L37" s="83"/>
      <x:c r="M37" s="84"/>
      <x:c r="N37" s="86" t="str">
        <x:f>IF(C37="","",IFERROR(F37/E37,0))</x:f>
      </x:c>
      <x:c r="O37" s="107" t="str">
        <x:f>IF(C37="","",IFERROR(G37/F37,0))</x:f>
      </x:c>
    </x:row>
    <x:row r="38">
      <x:c r="A38" s="102" t="n">
        <x:v>2</x:v>
      </x:c>
      <x:c r="B38" s="103" t="n">
        <x:v>13</x:v>
      </x:c>
      <x:c r="C38" s="83"/>
      <x:c r="D38" s="83" t="str">
        <x:f>IFERROR(INDEX('学员台账'!$B$6:$B$25,MATCH(C38,'学员台账'!$A$6:$A$25,0)),"")</x:f>
      </x:c>
      <x:c r="E38" s="83" t="n">
        <x:v>3</x:v>
      </x:c>
      <x:c r="F38" s="83"/>
      <x:c r="G38" s="83"/>
      <x:c r="H38" s="83"/>
      <x:c r="I38" s="83"/>
      <x:c r="J38" s="83"/>
      <x:c r="K38" s="83"/>
      <x:c r="L38" s="83"/>
      <x:c r="M38" s="84"/>
      <x:c r="N38" s="86" t="str">
        <x:f>IF(C38="","",IFERROR(F38/E38,0))</x:f>
      </x:c>
      <x:c r="O38" s="107" t="str">
        <x:f>IF(C38="","",IFERROR(G38/F38,0))</x:f>
      </x:c>
    </x:row>
    <x:row r="39">
      <x:c r="A39" s="102" t="n">
        <x:v>2</x:v>
      </x:c>
      <x:c r="B39" s="103" t="n">
        <x:v>14</x:v>
      </x:c>
      <x:c r="C39" s="83"/>
      <x:c r="D39" s="83" t="str">
        <x:f>IFERROR(INDEX('学员台账'!$B$6:$B$25,MATCH(C39,'学员台账'!$A$6:$A$25,0)),"")</x:f>
      </x:c>
      <x:c r="E39" s="83" t="n">
        <x:v>3</x:v>
      </x:c>
      <x:c r="F39" s="83"/>
      <x:c r="G39" s="83"/>
      <x:c r="H39" s="83"/>
      <x:c r="I39" s="83"/>
      <x:c r="J39" s="83"/>
      <x:c r="K39" s="83"/>
      <x:c r="L39" s="83"/>
      <x:c r="M39" s="84"/>
      <x:c r="N39" s="86" t="str">
        <x:f>IF(C39="","",IFERROR(F39/E39,0))</x:f>
      </x:c>
      <x:c r="O39" s="107" t="str">
        <x:f>IF(C39="","",IFERROR(G39/F39,0))</x:f>
      </x:c>
    </x:row>
    <x:row r="40">
      <x:c r="A40" s="102" t="n">
        <x:v>2</x:v>
      </x:c>
      <x:c r="B40" s="103" t="n">
        <x:v>15</x:v>
      </x:c>
      <x:c r="C40" s="83"/>
      <x:c r="D40" s="83" t="str">
        <x:f>IFERROR(INDEX('学员台账'!$B$6:$B$25,MATCH(C40,'学员台账'!$A$6:$A$25,0)),"")</x:f>
      </x:c>
      <x:c r="E40" s="83" t="n">
        <x:v>3</x:v>
      </x:c>
      <x:c r="F40" s="83"/>
      <x:c r="G40" s="83"/>
      <x:c r="H40" s="83"/>
      <x:c r="I40" s="83"/>
      <x:c r="J40" s="83"/>
      <x:c r="K40" s="83"/>
      <x:c r="L40" s="83"/>
      <x:c r="M40" s="84"/>
      <x:c r="N40" s="86" t="str">
        <x:f>IF(C40="","",IFERROR(F40/E40,0))</x:f>
      </x:c>
      <x:c r="O40" s="107" t="str">
        <x:f>IF(C40="","",IFERROR(G40/F40,0))</x:f>
      </x:c>
    </x:row>
    <x:row r="41">
      <x:c r="A41" s="102" t="n">
        <x:v>2</x:v>
      </x:c>
      <x:c r="B41" s="103" t="n">
        <x:v>16</x:v>
      </x:c>
      <x:c r="C41" s="83"/>
      <x:c r="D41" s="83" t="str">
        <x:f>IFERROR(INDEX('学员台账'!$B$6:$B$25,MATCH(C41,'学员台账'!$A$6:$A$25,0)),"")</x:f>
      </x:c>
      <x:c r="E41" s="83" t="n">
        <x:v>3</x:v>
      </x:c>
      <x:c r="F41" s="83"/>
      <x:c r="G41" s="83"/>
      <x:c r="H41" s="83"/>
      <x:c r="I41" s="83"/>
      <x:c r="J41" s="83"/>
      <x:c r="K41" s="83"/>
      <x:c r="L41" s="83"/>
      <x:c r="M41" s="84"/>
      <x:c r="N41" s="86" t="str">
        <x:f>IF(C41="","",IFERROR(F41/E41,0))</x:f>
      </x:c>
      <x:c r="O41" s="107" t="str">
        <x:f>IF(C41="","",IFERROR(G41/F41,0))</x:f>
      </x:c>
    </x:row>
    <x:row r="42">
      <x:c r="A42" s="102" t="n">
        <x:v>2</x:v>
      </x:c>
      <x:c r="B42" s="103" t="n">
        <x:v>17</x:v>
      </x:c>
      <x:c r="C42" s="83"/>
      <x:c r="D42" s="83" t="str">
        <x:f>IFERROR(INDEX('学员台账'!$B$6:$B$25,MATCH(C42,'学员台账'!$A$6:$A$25,0)),"")</x:f>
      </x:c>
      <x:c r="E42" s="83" t="n">
        <x:v>3</x:v>
      </x:c>
      <x:c r="F42" s="83"/>
      <x:c r="G42" s="83"/>
      <x:c r="H42" s="83"/>
      <x:c r="I42" s="83"/>
      <x:c r="J42" s="83"/>
      <x:c r="K42" s="83"/>
      <x:c r="L42" s="83"/>
      <x:c r="M42" s="84"/>
      <x:c r="N42" s="86" t="str">
        <x:f>IF(C42="","",IFERROR(F42/E42,0))</x:f>
      </x:c>
      <x:c r="O42" s="107" t="str">
        <x:f>IF(C42="","",IFERROR(G42/F42,0))</x:f>
      </x:c>
    </x:row>
    <x:row r="43">
      <x:c r="A43" s="102" t="n">
        <x:v>2</x:v>
      </x:c>
      <x:c r="B43" s="103" t="n">
        <x:v>18</x:v>
      </x:c>
      <x:c r="C43" s="83"/>
      <x:c r="D43" s="83" t="str">
        <x:f>IFERROR(INDEX('学员台账'!$B$6:$B$25,MATCH(C43,'学员台账'!$A$6:$A$25,0)),"")</x:f>
      </x:c>
      <x:c r="E43" s="83" t="n">
        <x:v>3</x:v>
      </x:c>
      <x:c r="F43" s="83"/>
      <x:c r="G43" s="83"/>
      <x:c r="H43" s="83"/>
      <x:c r="I43" s="83"/>
      <x:c r="J43" s="83"/>
      <x:c r="K43" s="83"/>
      <x:c r="L43" s="83"/>
      <x:c r="M43" s="84"/>
      <x:c r="N43" s="86" t="str">
        <x:f>IF(C43="","",IFERROR(F43/E43,0))</x:f>
      </x:c>
      <x:c r="O43" s="107" t="str">
        <x:f>IF(C43="","",IFERROR(G43/F43,0))</x:f>
      </x:c>
    </x:row>
    <x:row r="44">
      <x:c r="A44" s="102" t="n">
        <x:v>2</x:v>
      </x:c>
      <x:c r="B44" s="103" t="n">
        <x:v>19</x:v>
      </x:c>
      <x:c r="C44" s="83"/>
      <x:c r="D44" s="83" t="str">
        <x:f>IFERROR(INDEX('学员台账'!$B$6:$B$25,MATCH(C44,'学员台账'!$A$6:$A$25,0)),"")</x:f>
      </x:c>
      <x:c r="E44" s="83" t="n">
        <x:v>3</x:v>
      </x:c>
      <x:c r="F44" s="83"/>
      <x:c r="G44" s="83"/>
      <x:c r="H44" s="83"/>
      <x:c r="I44" s="83"/>
      <x:c r="J44" s="83"/>
      <x:c r="K44" s="83"/>
      <x:c r="L44" s="83"/>
      <x:c r="M44" s="84"/>
      <x:c r="N44" s="86" t="str">
        <x:f>IF(C44="","",IFERROR(F44/E44,0))</x:f>
      </x:c>
      <x:c r="O44" s="107" t="str">
        <x:f>IF(C44="","",IFERROR(G44/F44,0))</x:f>
      </x:c>
    </x:row>
    <x:row r="45">
      <x:c r="A45" s="102" t="n">
        <x:v>2</x:v>
      </x:c>
      <x:c r="B45" s="103" t="n">
        <x:v>20</x:v>
      </x:c>
      <x:c r="C45" s="83"/>
      <x:c r="D45" s="83" t="str">
        <x:f>IFERROR(INDEX('学员台账'!$B$6:$B$25,MATCH(C45,'学员台账'!$A$6:$A$25,0)),"")</x:f>
      </x:c>
      <x:c r="E45" s="83" t="n">
        <x:v>3</x:v>
      </x:c>
      <x:c r="F45" s="83"/>
      <x:c r="G45" s="83"/>
      <x:c r="H45" s="83"/>
      <x:c r="I45" s="83"/>
      <x:c r="J45" s="83"/>
      <x:c r="K45" s="83"/>
      <x:c r="L45" s="83"/>
      <x:c r="M45" s="84"/>
      <x:c r="N45" s="86" t="str">
        <x:f>IF(C45="","",IFERROR(F45/E45,0))</x:f>
      </x:c>
      <x:c r="O45" s="107" t="str">
        <x:f>IF(C45="","",IFERROR(G45/F45,0))</x:f>
      </x:c>
    </x:row>
    <x:row r="46">
      <x:c r="A46" s="102" t="n">
        <x:v>3</x:v>
      </x:c>
      <x:c r="B46" s="103" t="n">
        <x:v>1</x:v>
      </x:c>
      <x:c r="C46" s="83"/>
      <x:c r="D46" s="83" t="str">
        <x:f>IFERROR(INDEX('学员台账'!$B$6:$B$25,MATCH(C46,'学员台账'!$A$6:$A$25,0)),"")</x:f>
      </x:c>
      <x:c r="E46" s="83" t="n">
        <x:v>3</x:v>
      </x:c>
      <x:c r="F46" s="83"/>
      <x:c r="G46" s="83"/>
      <x:c r="H46" s="83"/>
      <x:c r="I46" s="83"/>
      <x:c r="J46" s="83"/>
      <x:c r="K46" s="83"/>
      <x:c r="L46" s="83"/>
      <x:c r="M46" s="84"/>
      <x:c r="N46" s="86" t="str">
        <x:f>IF(C46="","",IFERROR(F46/E46,0))</x:f>
      </x:c>
      <x:c r="O46" s="107" t="str">
        <x:f>IF(C46="","",IFERROR(G46/F46,0))</x:f>
      </x:c>
    </x:row>
    <x:row r="47">
      <x:c r="A47" s="102" t="n">
        <x:v>3</x:v>
      </x:c>
      <x:c r="B47" s="103" t="n">
        <x:v>2</x:v>
      </x:c>
      <x:c r="C47" s="83"/>
      <x:c r="D47" s="83" t="str">
        <x:f>IFERROR(INDEX('学员台账'!$B$6:$B$25,MATCH(C47,'学员台账'!$A$6:$A$25,0)),"")</x:f>
      </x:c>
      <x:c r="E47" s="83" t="n">
        <x:v>3</x:v>
      </x:c>
      <x:c r="F47" s="83"/>
      <x:c r="G47" s="83"/>
      <x:c r="H47" s="83"/>
      <x:c r="I47" s="83"/>
      <x:c r="J47" s="83"/>
      <x:c r="K47" s="83"/>
      <x:c r="L47" s="83"/>
      <x:c r="M47" s="84"/>
      <x:c r="N47" s="86" t="str">
        <x:f>IF(C47="","",IFERROR(F47/E47,0))</x:f>
      </x:c>
      <x:c r="O47" s="107" t="str">
        <x:f>IF(C47="","",IFERROR(G47/F47,0))</x:f>
      </x:c>
    </x:row>
    <x:row r="48">
      <x:c r="A48" s="102" t="n">
        <x:v>3</x:v>
      </x:c>
      <x:c r="B48" s="103" t="n">
        <x:v>3</x:v>
      </x:c>
      <x:c r="C48" s="83"/>
      <x:c r="D48" s="83" t="str">
        <x:f>IFERROR(INDEX('学员台账'!$B$6:$B$25,MATCH(C48,'学员台账'!$A$6:$A$25,0)),"")</x:f>
      </x:c>
      <x:c r="E48" s="83" t="n">
        <x:v>3</x:v>
      </x:c>
      <x:c r="F48" s="83"/>
      <x:c r="G48" s="83"/>
      <x:c r="H48" s="83"/>
      <x:c r="I48" s="83"/>
      <x:c r="J48" s="83"/>
      <x:c r="K48" s="83"/>
      <x:c r="L48" s="83"/>
      <x:c r="M48" s="84"/>
      <x:c r="N48" s="86" t="str">
        <x:f>IF(C48="","",IFERROR(F48/E48,0))</x:f>
      </x:c>
      <x:c r="O48" s="107" t="str">
        <x:f>IF(C48="","",IFERROR(G48/F48,0))</x:f>
      </x:c>
    </x:row>
    <x:row r="49">
      <x:c r="A49" s="102" t="n">
        <x:v>3</x:v>
      </x:c>
      <x:c r="B49" s="103" t="n">
        <x:v>4</x:v>
      </x:c>
      <x:c r="C49" s="83"/>
      <x:c r="D49" s="83" t="str">
        <x:f>IFERROR(INDEX('学员台账'!$B$6:$B$25,MATCH(C49,'学员台账'!$A$6:$A$25,0)),"")</x:f>
      </x:c>
      <x:c r="E49" s="83" t="n">
        <x:v>3</x:v>
      </x:c>
      <x:c r="F49" s="83"/>
      <x:c r="G49" s="83"/>
      <x:c r="H49" s="83"/>
      <x:c r="I49" s="83"/>
      <x:c r="J49" s="83"/>
      <x:c r="K49" s="83"/>
      <x:c r="L49" s="83"/>
      <x:c r="M49" s="84"/>
      <x:c r="N49" s="86" t="str">
        <x:f>IF(C49="","",IFERROR(F49/E49,0))</x:f>
      </x:c>
      <x:c r="O49" s="107" t="str">
        <x:f>IF(C49="","",IFERROR(G49/F49,0))</x:f>
      </x:c>
    </x:row>
    <x:row r="50">
      <x:c r="A50" s="102" t="n">
        <x:v>3</x:v>
      </x:c>
      <x:c r="B50" s="103" t="n">
        <x:v>5</x:v>
      </x:c>
      <x:c r="C50" s="83"/>
      <x:c r="D50" s="83" t="str">
        <x:f>IFERROR(INDEX('学员台账'!$B$6:$B$25,MATCH(C50,'学员台账'!$A$6:$A$25,0)),"")</x:f>
      </x:c>
      <x:c r="E50" s="83" t="n">
        <x:v>3</x:v>
      </x:c>
      <x:c r="F50" s="83"/>
      <x:c r="G50" s="83"/>
      <x:c r="H50" s="83"/>
      <x:c r="I50" s="83"/>
      <x:c r="J50" s="83"/>
      <x:c r="K50" s="83"/>
      <x:c r="L50" s="83"/>
      <x:c r="M50" s="84"/>
      <x:c r="N50" s="86" t="str">
        <x:f>IF(C50="","",IFERROR(F50/E50,0))</x:f>
      </x:c>
      <x:c r="O50" s="107" t="str">
        <x:f>IF(C50="","",IFERROR(G50/F50,0))</x:f>
      </x:c>
    </x:row>
    <x:row r="51">
      <x:c r="A51" s="102" t="n">
        <x:v>3</x:v>
      </x:c>
      <x:c r="B51" s="103" t="n">
        <x:v>6</x:v>
      </x:c>
      <x:c r="C51" s="83"/>
      <x:c r="D51" s="83" t="str">
        <x:f>IFERROR(INDEX('学员台账'!$B$6:$B$25,MATCH(C51,'学员台账'!$A$6:$A$25,0)),"")</x:f>
      </x:c>
      <x:c r="E51" s="83" t="n">
        <x:v>3</x:v>
      </x:c>
      <x:c r="F51" s="83"/>
      <x:c r="G51" s="83"/>
      <x:c r="H51" s="83"/>
      <x:c r="I51" s="83"/>
      <x:c r="J51" s="83"/>
      <x:c r="K51" s="83"/>
      <x:c r="L51" s="83"/>
      <x:c r="M51" s="84"/>
      <x:c r="N51" s="86" t="str">
        <x:f>IF(C51="","",IFERROR(F51/E51,0))</x:f>
      </x:c>
      <x:c r="O51" s="107" t="str">
        <x:f>IF(C51="","",IFERROR(G51/F51,0))</x:f>
      </x:c>
    </x:row>
    <x:row r="52">
      <x:c r="A52" s="102" t="n">
        <x:v>3</x:v>
      </x:c>
      <x:c r="B52" s="103" t="n">
        <x:v>7</x:v>
      </x:c>
      <x:c r="C52" s="83"/>
      <x:c r="D52" s="83" t="str">
        <x:f>IFERROR(INDEX('学员台账'!$B$6:$B$25,MATCH(C52,'学员台账'!$A$6:$A$25,0)),"")</x:f>
      </x:c>
      <x:c r="E52" s="83" t="n">
        <x:v>3</x:v>
      </x:c>
      <x:c r="F52" s="83"/>
      <x:c r="G52" s="83"/>
      <x:c r="H52" s="83"/>
      <x:c r="I52" s="83"/>
      <x:c r="J52" s="83"/>
      <x:c r="K52" s="83"/>
      <x:c r="L52" s="83"/>
      <x:c r="M52" s="84"/>
      <x:c r="N52" s="86" t="str">
        <x:f>IF(C52="","",IFERROR(F52/E52,0))</x:f>
      </x:c>
      <x:c r="O52" s="107" t="str">
        <x:f>IF(C52="","",IFERROR(G52/F52,0))</x:f>
      </x:c>
    </x:row>
    <x:row r="53">
      <x:c r="A53" s="102" t="n">
        <x:v>3</x:v>
      </x:c>
      <x:c r="B53" s="103" t="n">
        <x:v>8</x:v>
      </x:c>
      <x:c r="C53" s="83"/>
      <x:c r="D53" s="83" t="str">
        <x:f>IFERROR(INDEX('学员台账'!$B$6:$B$25,MATCH(C53,'学员台账'!$A$6:$A$25,0)),"")</x:f>
      </x:c>
      <x:c r="E53" s="83" t="n">
        <x:v>3</x:v>
      </x:c>
      <x:c r="F53" s="83"/>
      <x:c r="G53" s="83"/>
      <x:c r="H53" s="83"/>
      <x:c r="I53" s="83"/>
      <x:c r="J53" s="83"/>
      <x:c r="K53" s="83"/>
      <x:c r="L53" s="83"/>
      <x:c r="M53" s="84"/>
      <x:c r="N53" s="86" t="str">
        <x:f>IF(C53="","",IFERROR(F53/E53,0))</x:f>
      </x:c>
      <x:c r="O53" s="107" t="str">
        <x:f>IF(C53="","",IFERROR(G53/F53,0))</x:f>
      </x:c>
    </x:row>
    <x:row r="54">
      <x:c r="A54" s="102" t="n">
        <x:v>3</x:v>
      </x:c>
      <x:c r="B54" s="103" t="n">
        <x:v>9</x:v>
      </x:c>
      <x:c r="C54" s="83"/>
      <x:c r="D54" s="83" t="str">
        <x:f>IFERROR(INDEX('学员台账'!$B$6:$B$25,MATCH(C54,'学员台账'!$A$6:$A$25,0)),"")</x:f>
      </x:c>
      <x:c r="E54" s="83" t="n">
        <x:v>3</x:v>
      </x:c>
      <x:c r="F54" s="83"/>
      <x:c r="G54" s="83"/>
      <x:c r="H54" s="83"/>
      <x:c r="I54" s="83"/>
      <x:c r="J54" s="83"/>
      <x:c r="K54" s="83"/>
      <x:c r="L54" s="83"/>
      <x:c r="M54" s="84"/>
      <x:c r="N54" s="86" t="str">
        <x:f>IF(C54="","",IFERROR(F54/E54,0))</x:f>
      </x:c>
      <x:c r="O54" s="107" t="str">
        <x:f>IF(C54="","",IFERROR(G54/F54,0))</x:f>
      </x:c>
    </x:row>
    <x:row r="55">
      <x:c r="A55" s="102" t="n">
        <x:v>3</x:v>
      </x:c>
      <x:c r="B55" s="103" t="n">
        <x:v>10</x:v>
      </x:c>
      <x:c r="C55" s="83"/>
      <x:c r="D55" s="83" t="str">
        <x:f>IFERROR(INDEX('学员台账'!$B$6:$B$25,MATCH(C55,'学员台账'!$A$6:$A$25,0)),"")</x:f>
      </x:c>
      <x:c r="E55" s="83" t="n">
        <x:v>3</x:v>
      </x:c>
      <x:c r="F55" s="83"/>
      <x:c r="G55" s="83"/>
      <x:c r="H55" s="83"/>
      <x:c r="I55" s="83"/>
      <x:c r="J55" s="83"/>
      <x:c r="K55" s="83"/>
      <x:c r="L55" s="83"/>
      <x:c r="M55" s="84"/>
      <x:c r="N55" s="86" t="str">
        <x:f>IF(C55="","",IFERROR(F55/E55,0))</x:f>
      </x:c>
      <x:c r="O55" s="107" t="str">
        <x:f>IF(C55="","",IFERROR(G55/F55,0))</x:f>
      </x:c>
    </x:row>
    <x:row r="56">
      <x:c r="A56" s="102" t="n">
        <x:v>3</x:v>
      </x:c>
      <x:c r="B56" s="103" t="n">
        <x:v>11</x:v>
      </x:c>
      <x:c r="C56" s="83"/>
      <x:c r="D56" s="83" t="str">
        <x:f>IFERROR(INDEX('学员台账'!$B$6:$B$25,MATCH(C56,'学员台账'!$A$6:$A$25,0)),"")</x:f>
      </x:c>
      <x:c r="E56" s="83" t="n">
        <x:v>3</x:v>
      </x:c>
      <x:c r="F56" s="83"/>
      <x:c r="G56" s="83"/>
      <x:c r="H56" s="83"/>
      <x:c r="I56" s="83"/>
      <x:c r="J56" s="83"/>
      <x:c r="K56" s="83"/>
      <x:c r="L56" s="83"/>
      <x:c r="M56" s="84"/>
      <x:c r="N56" s="86" t="str">
        <x:f>IF(C56="","",IFERROR(F56/E56,0))</x:f>
      </x:c>
      <x:c r="O56" s="107" t="str">
        <x:f>IF(C56="","",IFERROR(G56/F56,0))</x:f>
      </x:c>
    </x:row>
    <x:row r="57">
      <x:c r="A57" s="102" t="n">
        <x:v>3</x:v>
      </x:c>
      <x:c r="B57" s="103" t="n">
        <x:v>12</x:v>
      </x:c>
      <x:c r="C57" s="83"/>
      <x:c r="D57" s="83" t="str">
        <x:f>IFERROR(INDEX('学员台账'!$B$6:$B$25,MATCH(C57,'学员台账'!$A$6:$A$25,0)),"")</x:f>
      </x:c>
      <x:c r="E57" s="83" t="n">
        <x:v>3</x:v>
      </x:c>
      <x:c r="F57" s="83"/>
      <x:c r="G57" s="83"/>
      <x:c r="H57" s="83"/>
      <x:c r="I57" s="83"/>
      <x:c r="J57" s="83"/>
      <x:c r="K57" s="83"/>
      <x:c r="L57" s="83"/>
      <x:c r="M57" s="84"/>
      <x:c r="N57" s="86" t="str">
        <x:f>IF(C57="","",IFERROR(F57/E57,0))</x:f>
      </x:c>
      <x:c r="O57" s="107" t="str">
        <x:f>IF(C57="","",IFERROR(G57/F57,0))</x:f>
      </x:c>
    </x:row>
    <x:row r="58">
      <x:c r="A58" s="102" t="n">
        <x:v>3</x:v>
      </x:c>
      <x:c r="B58" s="103" t="n">
        <x:v>13</x:v>
      </x:c>
      <x:c r="C58" s="83"/>
      <x:c r="D58" s="83" t="str">
        <x:f>IFERROR(INDEX('学员台账'!$B$6:$B$25,MATCH(C58,'学员台账'!$A$6:$A$25,0)),"")</x:f>
      </x:c>
      <x:c r="E58" s="83" t="n">
        <x:v>3</x:v>
      </x:c>
      <x:c r="F58" s="83"/>
      <x:c r="G58" s="83"/>
      <x:c r="H58" s="83"/>
      <x:c r="I58" s="83"/>
      <x:c r="J58" s="83"/>
      <x:c r="K58" s="83"/>
      <x:c r="L58" s="83"/>
      <x:c r="M58" s="84"/>
      <x:c r="N58" s="86" t="str">
        <x:f>IF(C58="","",IFERROR(F58/E58,0))</x:f>
      </x:c>
      <x:c r="O58" s="107" t="str">
        <x:f>IF(C58="","",IFERROR(G58/F58,0))</x:f>
      </x:c>
    </x:row>
    <x:row r="59">
      <x:c r="A59" s="102" t="n">
        <x:v>3</x:v>
      </x:c>
      <x:c r="B59" s="103" t="n">
        <x:v>14</x:v>
      </x:c>
      <x:c r="C59" s="83"/>
      <x:c r="D59" s="83" t="str">
        <x:f>IFERROR(INDEX('学员台账'!$B$6:$B$25,MATCH(C59,'学员台账'!$A$6:$A$25,0)),"")</x:f>
      </x:c>
      <x:c r="E59" s="83" t="n">
        <x:v>3</x:v>
      </x:c>
      <x:c r="F59" s="83"/>
      <x:c r="G59" s="83"/>
      <x:c r="H59" s="83"/>
      <x:c r="I59" s="83"/>
      <x:c r="J59" s="83"/>
      <x:c r="K59" s="83"/>
      <x:c r="L59" s="83"/>
      <x:c r="M59" s="84"/>
      <x:c r="N59" s="86" t="str">
        <x:f>IF(C59="","",IFERROR(F59/E59,0))</x:f>
      </x:c>
      <x:c r="O59" s="107" t="str">
        <x:f>IF(C59="","",IFERROR(G59/F59,0))</x:f>
      </x:c>
    </x:row>
    <x:row r="60">
      <x:c r="A60" s="102" t="n">
        <x:v>3</x:v>
      </x:c>
      <x:c r="B60" s="103" t="n">
        <x:v>15</x:v>
      </x:c>
      <x:c r="C60" s="83"/>
      <x:c r="D60" s="83" t="str">
        <x:f>IFERROR(INDEX('学员台账'!$B$6:$B$25,MATCH(C60,'学员台账'!$A$6:$A$25,0)),"")</x:f>
      </x:c>
      <x:c r="E60" s="83" t="n">
        <x:v>3</x:v>
      </x:c>
      <x:c r="F60" s="83"/>
      <x:c r="G60" s="83"/>
      <x:c r="H60" s="83"/>
      <x:c r="I60" s="83"/>
      <x:c r="J60" s="83"/>
      <x:c r="K60" s="83"/>
      <x:c r="L60" s="83"/>
      <x:c r="M60" s="84"/>
      <x:c r="N60" s="86" t="str">
        <x:f>IF(C60="","",IFERROR(F60/E60,0))</x:f>
      </x:c>
      <x:c r="O60" s="107" t="str">
        <x:f>IF(C60="","",IFERROR(G60/F60,0))</x:f>
      </x:c>
    </x:row>
    <x:row r="61">
      <x:c r="A61" s="102" t="n">
        <x:v>3</x:v>
      </x:c>
      <x:c r="B61" s="103" t="n">
        <x:v>16</x:v>
      </x:c>
      <x:c r="C61" s="83"/>
      <x:c r="D61" s="83" t="str">
        <x:f>IFERROR(INDEX('学员台账'!$B$6:$B$25,MATCH(C61,'学员台账'!$A$6:$A$25,0)),"")</x:f>
      </x:c>
      <x:c r="E61" s="83" t="n">
        <x:v>3</x:v>
      </x:c>
      <x:c r="F61" s="83"/>
      <x:c r="G61" s="83"/>
      <x:c r="H61" s="83"/>
      <x:c r="I61" s="83"/>
      <x:c r="J61" s="83"/>
      <x:c r="K61" s="83"/>
      <x:c r="L61" s="83"/>
      <x:c r="M61" s="84"/>
      <x:c r="N61" s="86" t="str">
        <x:f>IF(C61="","",IFERROR(F61/E61,0))</x:f>
      </x:c>
      <x:c r="O61" s="107" t="str">
        <x:f>IF(C61="","",IFERROR(G61/F61,0))</x:f>
      </x:c>
    </x:row>
    <x:row r="62">
      <x:c r="A62" s="102" t="n">
        <x:v>3</x:v>
      </x:c>
      <x:c r="B62" s="103" t="n">
        <x:v>17</x:v>
      </x:c>
      <x:c r="C62" s="83"/>
      <x:c r="D62" s="83" t="str">
        <x:f>IFERROR(INDEX('学员台账'!$B$6:$B$25,MATCH(C62,'学员台账'!$A$6:$A$25,0)),"")</x:f>
      </x:c>
      <x:c r="E62" s="83" t="n">
        <x:v>3</x:v>
      </x:c>
      <x:c r="F62" s="83"/>
      <x:c r="G62" s="83"/>
      <x:c r="H62" s="83"/>
      <x:c r="I62" s="83"/>
      <x:c r="J62" s="83"/>
      <x:c r="K62" s="83"/>
      <x:c r="L62" s="83"/>
      <x:c r="M62" s="84"/>
      <x:c r="N62" s="86" t="str">
        <x:f>IF(C62="","",IFERROR(F62/E62,0))</x:f>
      </x:c>
      <x:c r="O62" s="107" t="str">
        <x:f>IF(C62="","",IFERROR(G62/F62,0))</x:f>
      </x:c>
    </x:row>
    <x:row r="63">
      <x:c r="A63" s="102" t="n">
        <x:v>3</x:v>
      </x:c>
      <x:c r="B63" s="103" t="n">
        <x:v>18</x:v>
      </x:c>
      <x:c r="C63" s="83"/>
      <x:c r="D63" s="83" t="str">
        <x:f>IFERROR(INDEX('学员台账'!$B$6:$B$25,MATCH(C63,'学员台账'!$A$6:$A$25,0)),"")</x:f>
      </x:c>
      <x:c r="E63" s="83" t="n">
        <x:v>3</x:v>
      </x:c>
      <x:c r="F63" s="83"/>
      <x:c r="G63" s="83"/>
      <x:c r="H63" s="83"/>
      <x:c r="I63" s="83"/>
      <x:c r="J63" s="83"/>
      <x:c r="K63" s="83"/>
      <x:c r="L63" s="83"/>
      <x:c r="M63" s="84"/>
      <x:c r="N63" s="86" t="str">
        <x:f>IF(C63="","",IFERROR(F63/E63,0))</x:f>
      </x:c>
      <x:c r="O63" s="107" t="str">
        <x:f>IF(C63="","",IFERROR(G63/F63,0))</x:f>
      </x:c>
    </x:row>
    <x:row r="64">
      <x:c r="A64" s="102" t="n">
        <x:v>3</x:v>
      </x:c>
      <x:c r="B64" s="103" t="n">
        <x:v>19</x:v>
      </x:c>
      <x:c r="C64" s="83"/>
      <x:c r="D64" s="83" t="str">
        <x:f>IFERROR(INDEX('学员台账'!$B$6:$B$25,MATCH(C64,'学员台账'!$A$6:$A$25,0)),"")</x:f>
      </x:c>
      <x:c r="E64" s="83" t="n">
        <x:v>3</x:v>
      </x:c>
      <x:c r="F64" s="83"/>
      <x:c r="G64" s="83"/>
      <x:c r="H64" s="83"/>
      <x:c r="I64" s="83"/>
      <x:c r="J64" s="83"/>
      <x:c r="K64" s="83"/>
      <x:c r="L64" s="83"/>
      <x:c r="M64" s="84"/>
      <x:c r="N64" s="86" t="str">
        <x:f>IF(C64="","",IFERROR(F64/E64,0))</x:f>
      </x:c>
      <x:c r="O64" s="107" t="str">
        <x:f>IF(C64="","",IFERROR(G64/F64,0))</x:f>
      </x:c>
    </x:row>
    <x:row r="65">
      <x:c r="A65" s="102" t="n">
        <x:v>3</x:v>
      </x:c>
      <x:c r="B65" s="103" t="n">
        <x:v>20</x:v>
      </x:c>
      <x:c r="C65" s="83"/>
      <x:c r="D65" s="83" t="str">
        <x:f>IFERROR(INDEX('学员台账'!$B$6:$B$25,MATCH(C65,'学员台账'!$A$6:$A$25,0)),"")</x:f>
      </x:c>
      <x:c r="E65" s="83" t="n">
        <x:v>3</x:v>
      </x:c>
      <x:c r="F65" s="83"/>
      <x:c r="G65" s="83"/>
      <x:c r="H65" s="83"/>
      <x:c r="I65" s="83"/>
      <x:c r="J65" s="83"/>
      <x:c r="K65" s="83"/>
      <x:c r="L65" s="83"/>
      <x:c r="M65" s="84"/>
      <x:c r="N65" s="86" t="str">
        <x:f>IF(C65="","",IFERROR(F65/E65,0))</x:f>
      </x:c>
      <x:c r="O65" s="107" t="str">
        <x:f>IF(C65="","",IFERROR(G65/F65,0))</x:f>
      </x:c>
    </x:row>
    <x:row r="66">
      <x:c r="A66" s="102" t="n">
        <x:v>4</x:v>
      </x:c>
      <x:c r="B66" s="103" t="n">
        <x:v>1</x:v>
      </x:c>
      <x:c r="C66" s="83"/>
      <x:c r="D66" s="83" t="str">
        <x:f>IFERROR(INDEX('学员台账'!$B$6:$B$25,MATCH(C66,'学员台账'!$A$6:$A$25,0)),"")</x:f>
      </x:c>
      <x:c r="E66" s="83" t="n">
        <x:v>3</x:v>
      </x:c>
      <x:c r="F66" s="83"/>
      <x:c r="G66" s="83"/>
      <x:c r="H66" s="83"/>
      <x:c r="I66" s="83"/>
      <x:c r="J66" s="83"/>
      <x:c r="K66" s="83"/>
      <x:c r="L66" s="83"/>
      <x:c r="M66" s="84"/>
      <x:c r="N66" s="86" t="str">
        <x:f>IF(C66="","",IFERROR(F66/E66,0))</x:f>
      </x:c>
      <x:c r="O66" s="107" t="str">
        <x:f>IF(C66="","",IFERROR(G66/F66,0))</x:f>
      </x:c>
    </x:row>
    <x:row r="67">
      <x:c r="A67" s="102" t="n">
        <x:v>4</x:v>
      </x:c>
      <x:c r="B67" s="103" t="n">
        <x:v>2</x:v>
      </x:c>
      <x:c r="C67" s="83"/>
      <x:c r="D67" s="83" t="str">
        <x:f>IFERROR(INDEX('学员台账'!$B$6:$B$25,MATCH(C67,'学员台账'!$A$6:$A$25,0)),"")</x:f>
      </x:c>
      <x:c r="E67" s="83" t="n">
        <x:v>3</x:v>
      </x:c>
      <x:c r="F67" s="83"/>
      <x:c r="G67" s="83"/>
      <x:c r="H67" s="83"/>
      <x:c r="I67" s="83"/>
      <x:c r="J67" s="83"/>
      <x:c r="K67" s="83"/>
      <x:c r="L67" s="83"/>
      <x:c r="M67" s="84"/>
      <x:c r="N67" s="86" t="str">
        <x:f>IF(C67="","",IFERROR(F67/E67,0))</x:f>
      </x:c>
      <x:c r="O67" s="107" t="str">
        <x:f>IF(C67="","",IFERROR(G67/F67,0))</x:f>
      </x:c>
    </x:row>
    <x:row r="68">
      <x:c r="A68" s="102" t="n">
        <x:v>4</x:v>
      </x:c>
      <x:c r="B68" s="103" t="n">
        <x:v>3</x:v>
      </x:c>
      <x:c r="C68" s="83"/>
      <x:c r="D68" s="83" t="str">
        <x:f>IFERROR(INDEX('学员台账'!$B$6:$B$25,MATCH(C68,'学员台账'!$A$6:$A$25,0)),"")</x:f>
      </x:c>
      <x:c r="E68" s="83" t="n">
        <x:v>3</x:v>
      </x:c>
      <x:c r="F68" s="83"/>
      <x:c r="G68" s="83"/>
      <x:c r="H68" s="83"/>
      <x:c r="I68" s="83"/>
      <x:c r="J68" s="83"/>
      <x:c r="K68" s="83"/>
      <x:c r="L68" s="83"/>
      <x:c r="M68" s="84"/>
      <x:c r="N68" s="86" t="str">
        <x:f>IF(C68="","",IFERROR(F68/E68,0))</x:f>
      </x:c>
      <x:c r="O68" s="107" t="str">
        <x:f>IF(C68="","",IFERROR(G68/F68,0))</x:f>
      </x:c>
    </x:row>
    <x:row r="69">
      <x:c r="A69" s="102" t="n">
        <x:v>4</x:v>
      </x:c>
      <x:c r="B69" s="103" t="n">
        <x:v>4</x:v>
      </x:c>
      <x:c r="C69" s="83"/>
      <x:c r="D69" s="83" t="str">
        <x:f>IFERROR(INDEX('学员台账'!$B$6:$B$25,MATCH(C69,'学员台账'!$A$6:$A$25,0)),"")</x:f>
      </x:c>
      <x:c r="E69" s="83" t="n">
        <x:v>3</x:v>
      </x:c>
      <x:c r="F69" s="83"/>
      <x:c r="G69" s="83"/>
      <x:c r="H69" s="83"/>
      <x:c r="I69" s="83"/>
      <x:c r="J69" s="83"/>
      <x:c r="K69" s="83"/>
      <x:c r="L69" s="83"/>
      <x:c r="M69" s="84"/>
      <x:c r="N69" s="86" t="str">
        <x:f>IF(C69="","",IFERROR(F69/E69,0))</x:f>
      </x:c>
      <x:c r="O69" s="107" t="str">
        <x:f>IF(C69="","",IFERROR(G69/F69,0))</x:f>
      </x:c>
    </x:row>
    <x:row r="70">
      <x:c r="A70" s="102" t="n">
        <x:v>4</x:v>
      </x:c>
      <x:c r="B70" s="103" t="n">
        <x:v>5</x:v>
      </x:c>
      <x:c r="C70" s="83"/>
      <x:c r="D70" s="83" t="str">
        <x:f>IFERROR(INDEX('学员台账'!$B$6:$B$25,MATCH(C70,'学员台账'!$A$6:$A$25,0)),"")</x:f>
      </x:c>
      <x:c r="E70" s="83" t="n">
        <x:v>3</x:v>
      </x:c>
      <x:c r="F70" s="83"/>
      <x:c r="G70" s="83"/>
      <x:c r="H70" s="83"/>
      <x:c r="I70" s="83"/>
      <x:c r="J70" s="83"/>
      <x:c r="K70" s="83"/>
      <x:c r="L70" s="83"/>
      <x:c r="M70" s="84"/>
      <x:c r="N70" s="86" t="str">
        <x:f>IF(C70="","",IFERROR(F70/E70,0))</x:f>
      </x:c>
      <x:c r="O70" s="107" t="str">
        <x:f>IF(C70="","",IFERROR(G70/F70,0))</x:f>
      </x:c>
    </x:row>
    <x:row r="71">
      <x:c r="A71" s="102" t="n">
        <x:v>4</x:v>
      </x:c>
      <x:c r="B71" s="103" t="n">
        <x:v>6</x:v>
      </x:c>
      <x:c r="C71" s="83"/>
      <x:c r="D71" s="83" t="str">
        <x:f>IFERROR(INDEX('学员台账'!$B$6:$B$25,MATCH(C71,'学员台账'!$A$6:$A$25,0)),"")</x:f>
      </x:c>
      <x:c r="E71" s="83" t="n">
        <x:v>3</x:v>
      </x:c>
      <x:c r="F71" s="83"/>
      <x:c r="G71" s="83"/>
      <x:c r="H71" s="83"/>
      <x:c r="I71" s="83"/>
      <x:c r="J71" s="83"/>
      <x:c r="K71" s="83"/>
      <x:c r="L71" s="83"/>
      <x:c r="M71" s="84"/>
      <x:c r="N71" s="86" t="str">
        <x:f>IF(C71="","",IFERROR(F71/E71,0))</x:f>
      </x:c>
      <x:c r="O71" s="107" t="str">
        <x:f>IF(C71="","",IFERROR(G71/F71,0))</x:f>
      </x:c>
    </x:row>
    <x:row r="72">
      <x:c r="A72" s="102" t="n">
        <x:v>4</x:v>
      </x:c>
      <x:c r="B72" s="103" t="n">
        <x:v>7</x:v>
      </x:c>
      <x:c r="C72" s="83"/>
      <x:c r="D72" s="83" t="str">
        <x:f>IFERROR(INDEX('学员台账'!$B$6:$B$25,MATCH(C72,'学员台账'!$A$6:$A$25,0)),"")</x:f>
      </x:c>
      <x:c r="E72" s="83" t="n">
        <x:v>3</x:v>
      </x:c>
      <x:c r="F72" s="83"/>
      <x:c r="G72" s="83"/>
      <x:c r="H72" s="83"/>
      <x:c r="I72" s="83"/>
      <x:c r="J72" s="83"/>
      <x:c r="K72" s="83"/>
      <x:c r="L72" s="83"/>
      <x:c r="M72" s="84"/>
      <x:c r="N72" s="86" t="str">
        <x:f>IF(C72="","",IFERROR(F72/E72,0))</x:f>
      </x:c>
      <x:c r="O72" s="107" t="str">
        <x:f>IF(C72="","",IFERROR(G72/F72,0))</x:f>
      </x:c>
    </x:row>
    <x:row r="73">
      <x:c r="A73" s="102" t="n">
        <x:v>4</x:v>
      </x:c>
      <x:c r="B73" s="103" t="n">
        <x:v>8</x:v>
      </x:c>
      <x:c r="C73" s="83"/>
      <x:c r="D73" s="83" t="str">
        <x:f>IFERROR(INDEX('学员台账'!$B$6:$B$25,MATCH(C73,'学员台账'!$A$6:$A$25,0)),"")</x:f>
      </x:c>
      <x:c r="E73" s="83" t="n">
        <x:v>3</x:v>
      </x:c>
      <x:c r="F73" s="83"/>
      <x:c r="G73" s="83"/>
      <x:c r="H73" s="83"/>
      <x:c r="I73" s="83"/>
      <x:c r="J73" s="83"/>
      <x:c r="K73" s="83"/>
      <x:c r="L73" s="83"/>
      <x:c r="M73" s="84"/>
      <x:c r="N73" s="86" t="str">
        <x:f>IF(C73="","",IFERROR(F73/E73,0))</x:f>
      </x:c>
      <x:c r="O73" s="107" t="str">
        <x:f>IF(C73="","",IFERROR(G73/F73,0))</x:f>
      </x:c>
    </x:row>
    <x:row r="74">
      <x:c r="A74" s="102" t="n">
        <x:v>4</x:v>
      </x:c>
      <x:c r="B74" s="103" t="n">
        <x:v>9</x:v>
      </x:c>
      <x:c r="C74" s="83"/>
      <x:c r="D74" s="83" t="str">
        <x:f>IFERROR(INDEX('学员台账'!$B$6:$B$25,MATCH(C74,'学员台账'!$A$6:$A$25,0)),"")</x:f>
      </x:c>
      <x:c r="E74" s="83" t="n">
        <x:v>3</x:v>
      </x:c>
      <x:c r="F74" s="83"/>
      <x:c r="G74" s="83"/>
      <x:c r="H74" s="83"/>
      <x:c r="I74" s="83"/>
      <x:c r="J74" s="83"/>
      <x:c r="K74" s="83"/>
      <x:c r="L74" s="83"/>
      <x:c r="M74" s="84"/>
      <x:c r="N74" s="86" t="str">
        <x:f>IF(C74="","",IFERROR(F74/E74,0))</x:f>
      </x:c>
      <x:c r="O74" s="107" t="str">
        <x:f>IF(C74="","",IFERROR(G74/F74,0))</x:f>
      </x:c>
    </x:row>
    <x:row r="75">
      <x:c r="A75" s="102" t="n">
        <x:v>4</x:v>
      </x:c>
      <x:c r="B75" s="103" t="n">
        <x:v>10</x:v>
      </x:c>
      <x:c r="C75" s="83"/>
      <x:c r="D75" s="83" t="str">
        <x:f>IFERROR(INDEX('学员台账'!$B$6:$B$25,MATCH(C75,'学员台账'!$A$6:$A$25,0)),"")</x:f>
      </x:c>
      <x:c r="E75" s="83" t="n">
        <x:v>3</x:v>
      </x:c>
      <x:c r="F75" s="83"/>
      <x:c r="G75" s="83"/>
      <x:c r="H75" s="83"/>
      <x:c r="I75" s="83"/>
      <x:c r="J75" s="83"/>
      <x:c r="K75" s="83"/>
      <x:c r="L75" s="83"/>
      <x:c r="M75" s="84"/>
      <x:c r="N75" s="86" t="str">
        <x:f>IF(C75="","",IFERROR(F75/E75,0))</x:f>
      </x:c>
      <x:c r="O75" s="107" t="str">
        <x:f>IF(C75="","",IFERROR(G75/F75,0))</x:f>
      </x:c>
    </x:row>
    <x:row r="76">
      <x:c r="A76" s="102" t="n">
        <x:v>4</x:v>
      </x:c>
      <x:c r="B76" s="103" t="n">
        <x:v>11</x:v>
      </x:c>
      <x:c r="C76" s="83"/>
      <x:c r="D76" s="83" t="str">
        <x:f>IFERROR(INDEX('学员台账'!$B$6:$B$25,MATCH(C76,'学员台账'!$A$6:$A$25,0)),"")</x:f>
      </x:c>
      <x:c r="E76" s="83" t="n">
        <x:v>3</x:v>
      </x:c>
      <x:c r="F76" s="83"/>
      <x:c r="G76" s="83"/>
      <x:c r="H76" s="83"/>
      <x:c r="I76" s="83"/>
      <x:c r="J76" s="83"/>
      <x:c r="K76" s="83"/>
      <x:c r="L76" s="83"/>
      <x:c r="M76" s="84"/>
      <x:c r="N76" s="86" t="str">
        <x:f>IF(C76="","",IFERROR(F76/E76,0))</x:f>
      </x:c>
      <x:c r="O76" s="107" t="str">
        <x:f>IF(C76="","",IFERROR(G76/F76,0))</x:f>
      </x:c>
    </x:row>
    <x:row r="77">
      <x:c r="A77" s="102" t="n">
        <x:v>4</x:v>
      </x:c>
      <x:c r="B77" s="103" t="n">
        <x:v>12</x:v>
      </x:c>
      <x:c r="C77" s="83"/>
      <x:c r="D77" s="83" t="str">
        <x:f>IFERROR(INDEX('学员台账'!$B$6:$B$25,MATCH(C77,'学员台账'!$A$6:$A$25,0)),"")</x:f>
      </x:c>
      <x:c r="E77" s="83" t="n">
        <x:v>3</x:v>
      </x:c>
      <x:c r="F77" s="83"/>
      <x:c r="G77" s="83"/>
      <x:c r="H77" s="83"/>
      <x:c r="I77" s="83"/>
      <x:c r="J77" s="83"/>
      <x:c r="K77" s="83"/>
      <x:c r="L77" s="83"/>
      <x:c r="M77" s="84"/>
      <x:c r="N77" s="86" t="str">
        <x:f>IF(C77="","",IFERROR(F77/E77,0))</x:f>
      </x:c>
      <x:c r="O77" s="107" t="str">
        <x:f>IF(C77="","",IFERROR(G77/F77,0))</x:f>
      </x:c>
    </x:row>
    <x:row r="78">
      <x:c r="A78" s="102" t="n">
        <x:v>4</x:v>
      </x:c>
      <x:c r="B78" s="103" t="n">
        <x:v>13</x:v>
      </x:c>
      <x:c r="C78" s="83"/>
      <x:c r="D78" s="83" t="str">
        <x:f>IFERROR(INDEX('学员台账'!$B$6:$B$25,MATCH(C78,'学员台账'!$A$6:$A$25,0)),"")</x:f>
      </x:c>
      <x:c r="E78" s="83" t="n">
        <x:v>3</x:v>
      </x:c>
      <x:c r="F78" s="83"/>
      <x:c r="G78" s="83"/>
      <x:c r="H78" s="83"/>
      <x:c r="I78" s="83"/>
      <x:c r="J78" s="83"/>
      <x:c r="K78" s="83"/>
      <x:c r="L78" s="83"/>
      <x:c r="M78" s="84"/>
      <x:c r="N78" s="86" t="str">
        <x:f>IF(C78="","",IFERROR(F78/E78,0))</x:f>
      </x:c>
      <x:c r="O78" s="107" t="str">
        <x:f>IF(C78="","",IFERROR(G78/F78,0))</x:f>
      </x:c>
    </x:row>
    <x:row r="79">
      <x:c r="A79" s="102" t="n">
        <x:v>4</x:v>
      </x:c>
      <x:c r="B79" s="103" t="n">
        <x:v>14</x:v>
      </x:c>
      <x:c r="C79" s="83"/>
      <x:c r="D79" s="83" t="str">
        <x:f>IFERROR(INDEX('学员台账'!$B$6:$B$25,MATCH(C79,'学员台账'!$A$6:$A$25,0)),"")</x:f>
      </x:c>
      <x:c r="E79" s="83" t="n">
        <x:v>3</x:v>
      </x:c>
      <x:c r="F79" s="83"/>
      <x:c r="G79" s="83"/>
      <x:c r="H79" s="83"/>
      <x:c r="I79" s="83"/>
      <x:c r="J79" s="83"/>
      <x:c r="K79" s="83"/>
      <x:c r="L79" s="83"/>
      <x:c r="M79" s="84"/>
      <x:c r="N79" s="86" t="str">
        <x:f>IF(C79="","",IFERROR(F79/E79,0))</x:f>
      </x:c>
      <x:c r="O79" s="107" t="str">
        <x:f>IF(C79="","",IFERROR(G79/F79,0))</x:f>
      </x:c>
    </x:row>
    <x:row r="80">
      <x:c r="A80" s="102" t="n">
        <x:v>4</x:v>
      </x:c>
      <x:c r="B80" s="103" t="n">
        <x:v>15</x:v>
      </x:c>
      <x:c r="C80" s="83"/>
      <x:c r="D80" s="83" t="str">
        <x:f>IFERROR(INDEX('学员台账'!$B$6:$B$25,MATCH(C80,'学员台账'!$A$6:$A$25,0)),"")</x:f>
      </x:c>
      <x:c r="E80" s="83" t="n">
        <x:v>3</x:v>
      </x:c>
      <x:c r="F80" s="83"/>
      <x:c r="G80" s="83"/>
      <x:c r="H80" s="83"/>
      <x:c r="I80" s="83"/>
      <x:c r="J80" s="83"/>
      <x:c r="K80" s="83"/>
      <x:c r="L80" s="83"/>
      <x:c r="M80" s="84"/>
      <x:c r="N80" s="86" t="str">
        <x:f>IF(C80="","",IFERROR(F80/E80,0))</x:f>
      </x:c>
      <x:c r="O80" s="107" t="str">
        <x:f>IF(C80="","",IFERROR(G80/F80,0))</x:f>
      </x:c>
    </x:row>
    <x:row r="81">
      <x:c r="A81" s="102" t="n">
        <x:v>4</x:v>
      </x:c>
      <x:c r="B81" s="103" t="n">
        <x:v>16</x:v>
      </x:c>
      <x:c r="C81" s="83"/>
      <x:c r="D81" s="83" t="str">
        <x:f>IFERROR(INDEX('学员台账'!$B$6:$B$25,MATCH(C81,'学员台账'!$A$6:$A$25,0)),"")</x:f>
      </x:c>
      <x:c r="E81" s="83" t="n">
        <x:v>3</x:v>
      </x:c>
      <x:c r="F81" s="83"/>
      <x:c r="G81" s="83"/>
      <x:c r="H81" s="83"/>
      <x:c r="I81" s="83"/>
      <x:c r="J81" s="83"/>
      <x:c r="K81" s="83"/>
      <x:c r="L81" s="83"/>
      <x:c r="M81" s="84"/>
      <x:c r="N81" s="86" t="str">
        <x:f>IF(C81="","",IFERROR(F81/E81,0))</x:f>
      </x:c>
      <x:c r="O81" s="107" t="str">
        <x:f>IF(C81="","",IFERROR(G81/F81,0))</x:f>
      </x:c>
    </x:row>
    <x:row r="82">
      <x:c r="A82" s="102" t="n">
        <x:v>4</x:v>
      </x:c>
      <x:c r="B82" s="103" t="n">
        <x:v>17</x:v>
      </x:c>
      <x:c r="C82" s="83"/>
      <x:c r="D82" s="83" t="str">
        <x:f>IFERROR(INDEX('学员台账'!$B$6:$B$25,MATCH(C82,'学员台账'!$A$6:$A$25,0)),"")</x:f>
      </x:c>
      <x:c r="E82" s="83" t="n">
        <x:v>3</x:v>
      </x:c>
      <x:c r="F82" s="83"/>
      <x:c r="G82" s="83"/>
      <x:c r="H82" s="83"/>
      <x:c r="I82" s="83"/>
      <x:c r="J82" s="83"/>
      <x:c r="K82" s="83"/>
      <x:c r="L82" s="83"/>
      <x:c r="M82" s="84"/>
      <x:c r="N82" s="86" t="str">
        <x:f>IF(C82="","",IFERROR(F82/E82,0))</x:f>
      </x:c>
      <x:c r="O82" s="107" t="str">
        <x:f>IF(C82="","",IFERROR(G82/F82,0))</x:f>
      </x:c>
    </x:row>
    <x:row r="83">
      <x:c r="A83" s="102" t="n">
        <x:v>4</x:v>
      </x:c>
      <x:c r="B83" s="103" t="n">
        <x:v>18</x:v>
      </x:c>
      <x:c r="C83" s="83"/>
      <x:c r="D83" s="83" t="str">
        <x:f>IFERROR(INDEX('学员台账'!$B$6:$B$25,MATCH(C83,'学员台账'!$A$6:$A$25,0)),"")</x:f>
      </x:c>
      <x:c r="E83" s="83" t="n">
        <x:v>3</x:v>
      </x:c>
      <x:c r="F83" s="83"/>
      <x:c r="G83" s="83"/>
      <x:c r="H83" s="83"/>
      <x:c r="I83" s="83"/>
      <x:c r="J83" s="83"/>
      <x:c r="K83" s="83"/>
      <x:c r="L83" s="83"/>
      <x:c r="M83" s="84"/>
      <x:c r="N83" s="86" t="str">
        <x:f>IF(C83="","",IFERROR(F83/E83,0))</x:f>
      </x:c>
      <x:c r="O83" s="107" t="str">
        <x:f>IF(C83="","",IFERROR(G83/F83,0))</x:f>
      </x:c>
    </x:row>
    <x:row r="84">
      <x:c r="A84" s="102" t="n">
        <x:v>4</x:v>
      </x:c>
      <x:c r="B84" s="103" t="n">
        <x:v>19</x:v>
      </x:c>
      <x:c r="C84" s="83"/>
      <x:c r="D84" s="83" t="str">
        <x:f>IFERROR(INDEX('学员台账'!$B$6:$B$25,MATCH(C84,'学员台账'!$A$6:$A$25,0)),"")</x:f>
      </x:c>
      <x:c r="E84" s="83" t="n">
        <x:v>3</x:v>
      </x:c>
      <x:c r="F84" s="83"/>
      <x:c r="G84" s="83"/>
      <x:c r="H84" s="83"/>
      <x:c r="I84" s="83"/>
      <x:c r="J84" s="83"/>
      <x:c r="K84" s="83"/>
      <x:c r="L84" s="83"/>
      <x:c r="M84" s="84"/>
      <x:c r="N84" s="86" t="str">
        <x:f>IF(C84="","",IFERROR(F84/E84,0))</x:f>
      </x:c>
      <x:c r="O84" s="107" t="str">
        <x:f>IF(C84="","",IFERROR(G84/F84,0))</x:f>
      </x:c>
    </x:row>
    <x:row r="85">
      <x:c r="A85" s="102" t="n">
        <x:v>4</x:v>
      </x:c>
      <x:c r="B85" s="103" t="n">
        <x:v>20</x:v>
      </x:c>
      <x:c r="C85" s="83"/>
      <x:c r="D85" s="83" t="str">
        <x:f>IFERROR(INDEX('学员台账'!$B$6:$B$25,MATCH(C85,'学员台账'!$A$6:$A$25,0)),"")</x:f>
      </x:c>
      <x:c r="E85" s="83" t="n">
        <x:v>3</x:v>
      </x:c>
      <x:c r="F85" s="83"/>
      <x:c r="G85" s="83"/>
      <x:c r="H85" s="83"/>
      <x:c r="I85" s="83"/>
      <x:c r="J85" s="83"/>
      <x:c r="K85" s="83"/>
      <x:c r="L85" s="83"/>
      <x:c r="M85" s="84"/>
      <x:c r="N85" s="86" t="str">
        <x:f>IF(C85="","",IFERROR(F85/E85,0))</x:f>
      </x:c>
      <x:c r="O85" s="107" t="str">
        <x:f>IF(C85="","",IFERROR(G85/F85,0))</x:f>
      </x:c>
    </x:row>
    <x:row r="86">
      <x:c r="A86" s="102" t="n">
        <x:v>5</x:v>
      </x:c>
      <x:c r="B86" s="103" t="n">
        <x:v>1</x:v>
      </x:c>
      <x:c r="C86" s="83"/>
      <x:c r="D86" s="83" t="str">
        <x:f>IFERROR(INDEX('学员台账'!$B$6:$B$25,MATCH(C86,'学员台账'!$A$6:$A$25,0)),"")</x:f>
      </x:c>
      <x:c r="E86" s="83" t="n">
        <x:v>3</x:v>
      </x:c>
      <x:c r="F86" s="83"/>
      <x:c r="G86" s="83"/>
      <x:c r="H86" s="83"/>
      <x:c r="I86" s="83"/>
      <x:c r="J86" s="83"/>
      <x:c r="K86" s="83"/>
      <x:c r="L86" s="83"/>
      <x:c r="M86" s="84"/>
      <x:c r="N86" s="86" t="str">
        <x:f>IF(C86="","",IFERROR(F86/E86,0))</x:f>
      </x:c>
      <x:c r="O86" s="107" t="str">
        <x:f>IF(C86="","",IFERROR(G86/F86,0))</x:f>
      </x:c>
    </x:row>
    <x:row r="87">
      <x:c r="A87" s="102" t="n">
        <x:v>5</x:v>
      </x:c>
      <x:c r="B87" s="103" t="n">
        <x:v>2</x:v>
      </x:c>
      <x:c r="C87" s="83"/>
      <x:c r="D87" s="83" t="str">
        <x:f>IFERROR(INDEX('学员台账'!$B$6:$B$25,MATCH(C87,'学员台账'!$A$6:$A$25,0)),"")</x:f>
      </x:c>
      <x:c r="E87" s="83" t="n">
        <x:v>3</x:v>
      </x:c>
      <x:c r="F87" s="83"/>
      <x:c r="G87" s="83"/>
      <x:c r="H87" s="83"/>
      <x:c r="I87" s="83"/>
      <x:c r="J87" s="83"/>
      <x:c r="K87" s="83"/>
      <x:c r="L87" s="83"/>
      <x:c r="M87" s="84"/>
      <x:c r="N87" s="86" t="str">
        <x:f>IF(C87="","",IFERROR(F87/E87,0))</x:f>
      </x:c>
      <x:c r="O87" s="107" t="str">
        <x:f>IF(C87="","",IFERROR(G87/F87,0))</x:f>
      </x:c>
    </x:row>
    <x:row r="88">
      <x:c r="A88" s="102" t="n">
        <x:v>5</x:v>
      </x:c>
      <x:c r="B88" s="103" t="n">
        <x:v>3</x:v>
      </x:c>
      <x:c r="C88" s="83"/>
      <x:c r="D88" s="83" t="str">
        <x:f>IFERROR(INDEX('学员台账'!$B$6:$B$25,MATCH(C88,'学员台账'!$A$6:$A$25,0)),"")</x:f>
      </x:c>
      <x:c r="E88" s="83" t="n">
        <x:v>3</x:v>
      </x:c>
      <x:c r="F88" s="83"/>
      <x:c r="G88" s="83"/>
      <x:c r="H88" s="83"/>
      <x:c r="I88" s="83"/>
      <x:c r="J88" s="83"/>
      <x:c r="K88" s="83"/>
      <x:c r="L88" s="83"/>
      <x:c r="M88" s="84"/>
      <x:c r="N88" s="86" t="str">
        <x:f>IF(C88="","",IFERROR(F88/E88,0))</x:f>
      </x:c>
      <x:c r="O88" s="107" t="str">
        <x:f>IF(C88="","",IFERROR(G88/F88,0))</x:f>
      </x:c>
    </x:row>
    <x:row r="89">
      <x:c r="A89" s="102" t="n">
        <x:v>5</x:v>
      </x:c>
      <x:c r="B89" s="103" t="n">
        <x:v>4</x:v>
      </x:c>
      <x:c r="C89" s="83"/>
      <x:c r="D89" s="83" t="str">
        <x:f>IFERROR(INDEX('学员台账'!$B$6:$B$25,MATCH(C89,'学员台账'!$A$6:$A$25,0)),"")</x:f>
      </x:c>
      <x:c r="E89" s="83" t="n">
        <x:v>3</x:v>
      </x:c>
      <x:c r="F89" s="83"/>
      <x:c r="G89" s="83"/>
      <x:c r="H89" s="83"/>
      <x:c r="I89" s="83"/>
      <x:c r="J89" s="83"/>
      <x:c r="K89" s="83"/>
      <x:c r="L89" s="83"/>
      <x:c r="M89" s="84"/>
      <x:c r="N89" s="86" t="str">
        <x:f>IF(C89="","",IFERROR(F89/E89,0))</x:f>
      </x:c>
      <x:c r="O89" s="107" t="str">
        <x:f>IF(C89="","",IFERROR(G89/F89,0))</x:f>
      </x:c>
    </x:row>
    <x:row r="90">
      <x:c r="A90" s="102" t="n">
        <x:v>5</x:v>
      </x:c>
      <x:c r="B90" s="103" t="n">
        <x:v>5</x:v>
      </x:c>
      <x:c r="C90" s="83"/>
      <x:c r="D90" s="83" t="str">
        <x:f>IFERROR(INDEX('学员台账'!$B$6:$B$25,MATCH(C90,'学员台账'!$A$6:$A$25,0)),"")</x:f>
      </x:c>
      <x:c r="E90" s="83" t="n">
        <x:v>3</x:v>
      </x:c>
      <x:c r="F90" s="83"/>
      <x:c r="G90" s="83"/>
      <x:c r="H90" s="83"/>
      <x:c r="I90" s="83"/>
      <x:c r="J90" s="83"/>
      <x:c r="K90" s="83"/>
      <x:c r="L90" s="83"/>
      <x:c r="M90" s="84"/>
      <x:c r="N90" s="86" t="str">
        <x:f>IF(C90="","",IFERROR(F90/E90,0))</x:f>
      </x:c>
      <x:c r="O90" s="107" t="str">
        <x:f>IF(C90="","",IFERROR(G90/F90,0))</x:f>
      </x:c>
    </x:row>
    <x:row r="91">
      <x:c r="A91" s="102" t="n">
        <x:v>5</x:v>
      </x:c>
      <x:c r="B91" s="103" t="n">
        <x:v>6</x:v>
      </x:c>
      <x:c r="C91" s="83"/>
      <x:c r="D91" s="83" t="str">
        <x:f>IFERROR(INDEX('学员台账'!$B$6:$B$25,MATCH(C91,'学员台账'!$A$6:$A$25,0)),"")</x:f>
      </x:c>
      <x:c r="E91" s="83" t="n">
        <x:v>3</x:v>
      </x:c>
      <x:c r="F91" s="83"/>
      <x:c r="G91" s="83"/>
      <x:c r="H91" s="83"/>
      <x:c r="I91" s="83"/>
      <x:c r="J91" s="83"/>
      <x:c r="K91" s="83"/>
      <x:c r="L91" s="83"/>
      <x:c r="M91" s="84"/>
      <x:c r="N91" s="86" t="str">
        <x:f>IF(C91="","",IFERROR(F91/E91,0))</x:f>
      </x:c>
      <x:c r="O91" s="107" t="str">
        <x:f>IF(C91="","",IFERROR(G91/F91,0))</x:f>
      </x:c>
    </x:row>
    <x:row r="92">
      <x:c r="A92" s="102" t="n">
        <x:v>5</x:v>
      </x:c>
      <x:c r="B92" s="103" t="n">
        <x:v>7</x:v>
      </x:c>
      <x:c r="C92" s="83"/>
      <x:c r="D92" s="83" t="str">
        <x:f>IFERROR(INDEX('学员台账'!$B$6:$B$25,MATCH(C92,'学员台账'!$A$6:$A$25,0)),"")</x:f>
      </x:c>
      <x:c r="E92" s="83" t="n">
        <x:v>3</x:v>
      </x:c>
      <x:c r="F92" s="83"/>
      <x:c r="G92" s="83"/>
      <x:c r="H92" s="83"/>
      <x:c r="I92" s="83"/>
      <x:c r="J92" s="83"/>
      <x:c r="K92" s="83"/>
      <x:c r="L92" s="83"/>
      <x:c r="M92" s="84"/>
      <x:c r="N92" s="86" t="str">
        <x:f>IF(C92="","",IFERROR(F92/E92,0))</x:f>
      </x:c>
      <x:c r="O92" s="107" t="str">
        <x:f>IF(C92="","",IFERROR(G92/F92,0))</x:f>
      </x:c>
    </x:row>
    <x:row r="93">
      <x:c r="A93" s="102" t="n">
        <x:v>5</x:v>
      </x:c>
      <x:c r="B93" s="103" t="n">
        <x:v>8</x:v>
      </x:c>
      <x:c r="C93" s="83"/>
      <x:c r="D93" s="83" t="str">
        <x:f>IFERROR(INDEX('学员台账'!$B$6:$B$25,MATCH(C93,'学员台账'!$A$6:$A$25,0)),"")</x:f>
      </x:c>
      <x:c r="E93" s="83" t="n">
        <x:v>3</x:v>
      </x:c>
      <x:c r="F93" s="83"/>
      <x:c r="G93" s="83"/>
      <x:c r="H93" s="83"/>
      <x:c r="I93" s="83"/>
      <x:c r="J93" s="83"/>
      <x:c r="K93" s="83"/>
      <x:c r="L93" s="83"/>
      <x:c r="M93" s="84"/>
      <x:c r="N93" s="86" t="str">
        <x:f>IF(C93="","",IFERROR(F93/E93,0))</x:f>
      </x:c>
      <x:c r="O93" s="107" t="str">
        <x:f>IF(C93="","",IFERROR(G93/F93,0))</x:f>
      </x:c>
    </x:row>
    <x:row r="94">
      <x:c r="A94" s="102" t="n">
        <x:v>5</x:v>
      </x:c>
      <x:c r="B94" s="103" t="n">
        <x:v>9</x:v>
      </x:c>
      <x:c r="C94" s="83"/>
      <x:c r="D94" s="83" t="str">
        <x:f>IFERROR(INDEX('学员台账'!$B$6:$B$25,MATCH(C94,'学员台账'!$A$6:$A$25,0)),"")</x:f>
      </x:c>
      <x:c r="E94" s="83" t="n">
        <x:v>3</x:v>
      </x:c>
      <x:c r="F94" s="83"/>
      <x:c r="G94" s="83"/>
      <x:c r="H94" s="83"/>
      <x:c r="I94" s="83"/>
      <x:c r="J94" s="83"/>
      <x:c r="K94" s="83"/>
      <x:c r="L94" s="83"/>
      <x:c r="M94" s="84"/>
      <x:c r="N94" s="86" t="str">
        <x:f>IF(C94="","",IFERROR(F94/E94,0))</x:f>
      </x:c>
      <x:c r="O94" s="107" t="str">
        <x:f>IF(C94="","",IFERROR(G94/F94,0))</x:f>
      </x:c>
    </x:row>
    <x:row r="95">
      <x:c r="A95" s="102" t="n">
        <x:v>5</x:v>
      </x:c>
      <x:c r="B95" s="103" t="n">
        <x:v>10</x:v>
      </x:c>
      <x:c r="C95" s="83"/>
      <x:c r="D95" s="83" t="str">
        <x:f>IFERROR(INDEX('学员台账'!$B$6:$B$25,MATCH(C95,'学员台账'!$A$6:$A$25,0)),"")</x:f>
      </x:c>
      <x:c r="E95" s="83" t="n">
        <x:v>3</x:v>
      </x:c>
      <x:c r="F95" s="83"/>
      <x:c r="G95" s="83"/>
      <x:c r="H95" s="83"/>
      <x:c r="I95" s="83"/>
      <x:c r="J95" s="83"/>
      <x:c r="K95" s="83"/>
      <x:c r="L95" s="83"/>
      <x:c r="M95" s="84"/>
      <x:c r="N95" s="86" t="str">
        <x:f>IF(C95="","",IFERROR(F95/E95,0))</x:f>
      </x:c>
      <x:c r="O95" s="107" t="str">
        <x:f>IF(C95="","",IFERROR(G95/F95,0))</x:f>
      </x:c>
    </x:row>
    <x:row r="96">
      <x:c r="A96" s="102" t="n">
        <x:v>5</x:v>
      </x:c>
      <x:c r="B96" s="103" t="n">
        <x:v>11</x:v>
      </x:c>
      <x:c r="C96" s="83"/>
      <x:c r="D96" s="83" t="str">
        <x:f>IFERROR(INDEX('学员台账'!$B$6:$B$25,MATCH(C96,'学员台账'!$A$6:$A$25,0)),"")</x:f>
      </x:c>
      <x:c r="E96" s="83" t="n">
        <x:v>3</x:v>
      </x:c>
      <x:c r="F96" s="83"/>
      <x:c r="G96" s="83"/>
      <x:c r="H96" s="83"/>
      <x:c r="I96" s="83"/>
      <x:c r="J96" s="83"/>
      <x:c r="K96" s="83"/>
      <x:c r="L96" s="83"/>
      <x:c r="M96" s="84"/>
      <x:c r="N96" s="86" t="str">
        <x:f>IF(C96="","",IFERROR(F96/E96,0))</x:f>
      </x:c>
      <x:c r="O96" s="107" t="str">
        <x:f>IF(C96="","",IFERROR(G96/F96,0))</x:f>
      </x:c>
    </x:row>
    <x:row r="97">
      <x:c r="A97" s="102" t="n">
        <x:v>5</x:v>
      </x:c>
      <x:c r="B97" s="103" t="n">
        <x:v>12</x:v>
      </x:c>
      <x:c r="C97" s="83"/>
      <x:c r="D97" s="83" t="str">
        <x:f>IFERROR(INDEX('学员台账'!$B$6:$B$25,MATCH(C97,'学员台账'!$A$6:$A$25,0)),"")</x:f>
      </x:c>
      <x:c r="E97" s="83" t="n">
        <x:v>3</x:v>
      </x:c>
      <x:c r="F97" s="83"/>
      <x:c r="G97" s="83"/>
      <x:c r="H97" s="83"/>
      <x:c r="I97" s="83"/>
      <x:c r="J97" s="83"/>
      <x:c r="K97" s="83"/>
      <x:c r="L97" s="83"/>
      <x:c r="M97" s="84"/>
      <x:c r="N97" s="86" t="str">
        <x:f>IF(C97="","",IFERROR(F97/E97,0))</x:f>
      </x:c>
      <x:c r="O97" s="107" t="str">
        <x:f>IF(C97="","",IFERROR(G97/F97,0))</x:f>
      </x:c>
    </x:row>
    <x:row r="98">
      <x:c r="A98" s="102" t="n">
        <x:v>5</x:v>
      </x:c>
      <x:c r="B98" s="103" t="n">
        <x:v>13</x:v>
      </x:c>
      <x:c r="C98" s="83"/>
      <x:c r="D98" s="83" t="str">
        <x:f>IFERROR(INDEX('学员台账'!$B$6:$B$25,MATCH(C98,'学员台账'!$A$6:$A$25,0)),"")</x:f>
      </x:c>
      <x:c r="E98" s="83" t="n">
        <x:v>3</x:v>
      </x:c>
      <x:c r="F98" s="83"/>
      <x:c r="G98" s="83"/>
      <x:c r="H98" s="83"/>
      <x:c r="I98" s="83"/>
      <x:c r="J98" s="83"/>
      <x:c r="K98" s="83"/>
      <x:c r="L98" s="83"/>
      <x:c r="M98" s="84"/>
      <x:c r="N98" s="86" t="str">
        <x:f>IF(C98="","",IFERROR(F98/E98,0))</x:f>
      </x:c>
      <x:c r="O98" s="107" t="str">
        <x:f>IF(C98="","",IFERROR(G98/F98,0))</x:f>
      </x:c>
    </x:row>
    <x:row r="99">
      <x:c r="A99" s="102" t="n">
        <x:v>5</x:v>
      </x:c>
      <x:c r="B99" s="103" t="n">
        <x:v>14</x:v>
      </x:c>
      <x:c r="C99" s="83"/>
      <x:c r="D99" s="83" t="str">
        <x:f>IFERROR(INDEX('学员台账'!$B$6:$B$25,MATCH(C99,'学员台账'!$A$6:$A$25,0)),"")</x:f>
      </x:c>
      <x:c r="E99" s="83" t="n">
        <x:v>3</x:v>
      </x:c>
      <x:c r="F99" s="83"/>
      <x:c r="G99" s="83"/>
      <x:c r="H99" s="83"/>
      <x:c r="I99" s="83"/>
      <x:c r="J99" s="83"/>
      <x:c r="K99" s="83"/>
      <x:c r="L99" s="83"/>
      <x:c r="M99" s="84"/>
      <x:c r="N99" s="86" t="str">
        <x:f>IF(C99="","",IFERROR(F99/E99,0))</x:f>
      </x:c>
      <x:c r="O99" s="107" t="str">
        <x:f>IF(C99="","",IFERROR(G99/F99,0))</x:f>
      </x:c>
    </x:row>
    <x:row r="100">
      <x:c r="A100" s="102" t="n">
        <x:v>5</x:v>
      </x:c>
      <x:c r="B100" s="103" t="n">
        <x:v>15</x:v>
      </x:c>
      <x:c r="C100" s="83"/>
      <x:c r="D100" s="83" t="str">
        <x:f>IFERROR(INDEX('学员台账'!$B$6:$B$25,MATCH(C100,'学员台账'!$A$6:$A$25,0)),"")</x:f>
      </x:c>
      <x:c r="E100" s="83" t="n">
        <x:v>3</x:v>
      </x:c>
      <x:c r="F100" s="83"/>
      <x:c r="G100" s="83"/>
      <x:c r="H100" s="83"/>
      <x:c r="I100" s="83"/>
      <x:c r="J100" s="83"/>
      <x:c r="K100" s="83"/>
      <x:c r="L100" s="83"/>
      <x:c r="M100" s="84"/>
      <x:c r="N100" s="86" t="str">
        <x:f>IF(C100="","",IFERROR(F100/E100,0))</x:f>
      </x:c>
      <x:c r="O100" s="107" t="str">
        <x:f>IF(C100="","",IFERROR(G100/F100,0))</x:f>
      </x:c>
    </x:row>
    <x:row r="101">
      <x:c r="A101" s="102" t="n">
        <x:v>5</x:v>
      </x:c>
      <x:c r="B101" s="103" t="n">
        <x:v>16</x:v>
      </x:c>
      <x:c r="C101" s="83"/>
      <x:c r="D101" s="83" t="str">
        <x:f>IFERROR(INDEX('学员台账'!$B$6:$B$25,MATCH(C101,'学员台账'!$A$6:$A$25,0)),"")</x:f>
      </x:c>
      <x:c r="E101" s="83" t="n">
        <x:v>3</x:v>
      </x:c>
      <x:c r="F101" s="83"/>
      <x:c r="G101" s="83"/>
      <x:c r="H101" s="83"/>
      <x:c r="I101" s="83"/>
      <x:c r="J101" s="83"/>
      <x:c r="K101" s="83"/>
      <x:c r="L101" s="83"/>
      <x:c r="M101" s="84"/>
      <x:c r="N101" s="86" t="str">
        <x:f>IF(C101="","",IFERROR(F101/E101,0))</x:f>
      </x:c>
      <x:c r="O101" s="107" t="str">
        <x:f>IF(C101="","",IFERROR(G101/F101,0))</x:f>
      </x:c>
    </x:row>
    <x:row r="102">
      <x:c r="A102" s="102" t="n">
        <x:v>5</x:v>
      </x:c>
      <x:c r="B102" s="103" t="n">
        <x:v>17</x:v>
      </x:c>
      <x:c r="C102" s="83"/>
      <x:c r="D102" s="83" t="str">
        <x:f>IFERROR(INDEX('学员台账'!$B$6:$B$25,MATCH(C102,'学员台账'!$A$6:$A$25,0)),"")</x:f>
      </x:c>
      <x:c r="E102" s="83" t="n">
        <x:v>3</x:v>
      </x:c>
      <x:c r="F102" s="83"/>
      <x:c r="G102" s="83"/>
      <x:c r="H102" s="83"/>
      <x:c r="I102" s="83"/>
      <x:c r="J102" s="83"/>
      <x:c r="K102" s="83"/>
      <x:c r="L102" s="83"/>
      <x:c r="M102" s="84"/>
      <x:c r="N102" s="86" t="str">
        <x:f>IF(C102="","",IFERROR(F102/E102,0))</x:f>
      </x:c>
      <x:c r="O102" s="107" t="str">
        <x:f>IF(C102="","",IFERROR(G102/F102,0))</x:f>
      </x:c>
    </x:row>
    <x:row r="103">
      <x:c r="A103" s="102" t="n">
        <x:v>5</x:v>
      </x:c>
      <x:c r="B103" s="103" t="n">
        <x:v>18</x:v>
      </x:c>
      <x:c r="C103" s="83"/>
      <x:c r="D103" s="83" t="str">
        <x:f>IFERROR(INDEX('学员台账'!$B$6:$B$25,MATCH(C103,'学员台账'!$A$6:$A$25,0)),"")</x:f>
      </x:c>
      <x:c r="E103" s="83" t="n">
        <x:v>3</x:v>
      </x:c>
      <x:c r="F103" s="83"/>
      <x:c r="G103" s="83"/>
      <x:c r="H103" s="83"/>
      <x:c r="I103" s="83"/>
      <x:c r="J103" s="83"/>
      <x:c r="K103" s="83"/>
      <x:c r="L103" s="83"/>
      <x:c r="M103" s="84"/>
      <x:c r="N103" s="86" t="str">
        <x:f>IF(C103="","",IFERROR(F103/E103,0))</x:f>
      </x:c>
      <x:c r="O103" s="107" t="str">
        <x:f>IF(C103="","",IFERROR(G103/F103,0))</x:f>
      </x:c>
    </x:row>
    <x:row r="104">
      <x:c r="A104" s="102" t="n">
        <x:v>5</x:v>
      </x:c>
      <x:c r="B104" s="103" t="n">
        <x:v>19</x:v>
      </x:c>
      <x:c r="C104" s="83"/>
      <x:c r="D104" s="83" t="str">
        <x:f>IFERROR(INDEX('学员台账'!$B$6:$B$25,MATCH(C104,'学员台账'!$A$6:$A$25,0)),"")</x:f>
      </x:c>
      <x:c r="E104" s="83" t="n">
        <x:v>3</x:v>
      </x:c>
      <x:c r="F104" s="83"/>
      <x:c r="G104" s="83"/>
      <x:c r="H104" s="83"/>
      <x:c r="I104" s="83"/>
      <x:c r="J104" s="83"/>
      <x:c r="K104" s="83"/>
      <x:c r="L104" s="83"/>
      <x:c r="M104" s="84"/>
      <x:c r="N104" s="86" t="str">
        <x:f>IF(C104="","",IFERROR(F104/E104,0))</x:f>
      </x:c>
      <x:c r="O104" s="107" t="str">
        <x:f>IF(C104="","",IFERROR(G104/F104,0))</x:f>
      </x:c>
    </x:row>
    <x:row r="105">
      <x:c r="A105" s="102" t="n">
        <x:v>5</x:v>
      </x:c>
      <x:c r="B105" s="103" t="n">
        <x:v>20</x:v>
      </x:c>
      <x:c r="C105" s="83"/>
      <x:c r="D105" s="83" t="str">
        <x:f>IFERROR(INDEX('学员台账'!$B$6:$B$25,MATCH(C105,'学员台账'!$A$6:$A$25,0)),"")</x:f>
      </x:c>
      <x:c r="E105" s="83" t="n">
        <x:v>3</x:v>
      </x:c>
      <x:c r="F105" s="83"/>
      <x:c r="G105" s="83"/>
      <x:c r="H105" s="83"/>
      <x:c r="I105" s="83"/>
      <x:c r="J105" s="83"/>
      <x:c r="K105" s="83"/>
      <x:c r="L105" s="83"/>
      <x:c r="M105" s="84"/>
      <x:c r="N105" s="86" t="str">
        <x:f>IF(C105="","",IFERROR(F105/E105,0))</x:f>
      </x:c>
      <x:c r="O105" s="107" t="str">
        <x:f>IF(C105="","",IFERROR(G105/F105,0))</x:f>
      </x:c>
    </x:row>
    <x:row r="106">
      <x:c r="A106" s="102" t="n">
        <x:v>6</x:v>
      </x:c>
      <x:c r="B106" s="103" t="n">
        <x:v>1</x:v>
      </x:c>
      <x:c r="C106" s="83"/>
      <x:c r="D106" s="83" t="str">
        <x:f>IFERROR(INDEX('学员台账'!$B$6:$B$25,MATCH(C106,'学员台账'!$A$6:$A$25,0)),"")</x:f>
      </x:c>
      <x:c r="E106" s="83" t="n">
        <x:v>3</x:v>
      </x:c>
      <x:c r="F106" s="83"/>
      <x:c r="G106" s="83"/>
      <x:c r="H106" s="83"/>
      <x:c r="I106" s="83"/>
      <x:c r="J106" s="83"/>
      <x:c r="K106" s="83"/>
      <x:c r="L106" s="83"/>
      <x:c r="M106" s="84"/>
      <x:c r="N106" s="86" t="str">
        <x:f>IF(C106="","",IFERROR(F106/E106,0))</x:f>
      </x:c>
      <x:c r="O106" s="107" t="str">
        <x:f>IF(C106="","",IFERROR(G106/F106,0))</x:f>
      </x:c>
    </x:row>
    <x:row r="107">
      <x:c r="A107" s="102" t="n">
        <x:v>6</x:v>
      </x:c>
      <x:c r="B107" s="103" t="n">
        <x:v>2</x:v>
      </x:c>
      <x:c r="C107" s="83"/>
      <x:c r="D107" s="83" t="str">
        <x:f>IFERROR(INDEX('学员台账'!$B$6:$B$25,MATCH(C107,'学员台账'!$A$6:$A$25,0)),"")</x:f>
      </x:c>
      <x:c r="E107" s="83" t="n">
        <x:v>3</x:v>
      </x:c>
      <x:c r="F107" s="83"/>
      <x:c r="G107" s="83"/>
      <x:c r="H107" s="83"/>
      <x:c r="I107" s="83"/>
      <x:c r="J107" s="83"/>
      <x:c r="K107" s="83"/>
      <x:c r="L107" s="83"/>
      <x:c r="M107" s="84"/>
      <x:c r="N107" s="86" t="str">
        <x:f>IF(C107="","",IFERROR(F107/E107,0))</x:f>
      </x:c>
      <x:c r="O107" s="107" t="str">
        <x:f>IF(C107="","",IFERROR(G107/F107,0))</x:f>
      </x:c>
    </x:row>
    <x:row r="108">
      <x:c r="A108" s="102" t="n">
        <x:v>6</x:v>
      </x:c>
      <x:c r="B108" s="103" t="n">
        <x:v>3</x:v>
      </x:c>
      <x:c r="C108" s="83"/>
      <x:c r="D108" s="83" t="str">
        <x:f>IFERROR(INDEX('学员台账'!$B$6:$B$25,MATCH(C108,'学员台账'!$A$6:$A$25,0)),"")</x:f>
      </x:c>
      <x:c r="E108" s="83" t="n">
        <x:v>3</x:v>
      </x:c>
      <x:c r="F108" s="83"/>
      <x:c r="G108" s="83"/>
      <x:c r="H108" s="83"/>
      <x:c r="I108" s="83"/>
      <x:c r="J108" s="83"/>
      <x:c r="K108" s="83"/>
      <x:c r="L108" s="83"/>
      <x:c r="M108" s="84"/>
      <x:c r="N108" s="86" t="str">
        <x:f>IF(C108="","",IFERROR(F108/E108,0))</x:f>
      </x:c>
      <x:c r="O108" s="107" t="str">
        <x:f>IF(C108="","",IFERROR(G108/F108,0))</x:f>
      </x:c>
    </x:row>
    <x:row r="109">
      <x:c r="A109" s="102" t="n">
        <x:v>6</x:v>
      </x:c>
      <x:c r="B109" s="103" t="n">
        <x:v>4</x:v>
      </x:c>
      <x:c r="C109" s="83"/>
      <x:c r="D109" s="83" t="str">
        <x:f>IFERROR(INDEX('学员台账'!$B$6:$B$25,MATCH(C109,'学员台账'!$A$6:$A$25,0)),"")</x:f>
      </x:c>
      <x:c r="E109" s="83" t="n">
        <x:v>3</x:v>
      </x:c>
      <x:c r="F109" s="83"/>
      <x:c r="G109" s="83"/>
      <x:c r="H109" s="83"/>
      <x:c r="I109" s="83"/>
      <x:c r="J109" s="83"/>
      <x:c r="K109" s="83"/>
      <x:c r="L109" s="83"/>
      <x:c r="M109" s="84"/>
      <x:c r="N109" s="86" t="str">
        <x:f>IF(C109="","",IFERROR(F109/E109,0))</x:f>
      </x:c>
      <x:c r="O109" s="107" t="str">
        <x:f>IF(C109="","",IFERROR(G109/F109,0))</x:f>
      </x:c>
    </x:row>
    <x:row r="110">
      <x:c r="A110" s="102" t="n">
        <x:v>6</x:v>
      </x:c>
      <x:c r="B110" s="103" t="n">
        <x:v>5</x:v>
      </x:c>
      <x:c r="C110" s="83"/>
      <x:c r="D110" s="83" t="str">
        <x:f>IFERROR(INDEX('学员台账'!$B$6:$B$25,MATCH(C110,'学员台账'!$A$6:$A$25,0)),"")</x:f>
      </x:c>
      <x:c r="E110" s="83" t="n">
        <x:v>3</x:v>
      </x:c>
      <x:c r="F110" s="83"/>
      <x:c r="G110" s="83"/>
      <x:c r="H110" s="83"/>
      <x:c r="I110" s="83"/>
      <x:c r="J110" s="83"/>
      <x:c r="K110" s="83"/>
      <x:c r="L110" s="83"/>
      <x:c r="M110" s="84"/>
      <x:c r="N110" s="86" t="str">
        <x:f>IF(C110="","",IFERROR(F110/E110,0))</x:f>
      </x:c>
      <x:c r="O110" s="107" t="str">
        <x:f>IF(C110="","",IFERROR(G110/F110,0))</x:f>
      </x:c>
    </x:row>
    <x:row r="111">
      <x:c r="A111" s="102" t="n">
        <x:v>6</x:v>
      </x:c>
      <x:c r="B111" s="103" t="n">
        <x:v>6</x:v>
      </x:c>
      <x:c r="C111" s="83"/>
      <x:c r="D111" s="83" t="str">
        <x:f>IFERROR(INDEX('学员台账'!$B$6:$B$25,MATCH(C111,'学员台账'!$A$6:$A$25,0)),"")</x:f>
      </x:c>
      <x:c r="E111" s="83" t="n">
        <x:v>3</x:v>
      </x:c>
      <x:c r="F111" s="83"/>
      <x:c r="G111" s="83"/>
      <x:c r="H111" s="83"/>
      <x:c r="I111" s="83"/>
      <x:c r="J111" s="83"/>
      <x:c r="K111" s="83"/>
      <x:c r="L111" s="83"/>
      <x:c r="M111" s="84"/>
      <x:c r="N111" s="86" t="str">
        <x:f>IF(C111="","",IFERROR(F111/E111,0))</x:f>
      </x:c>
      <x:c r="O111" s="107" t="str">
        <x:f>IF(C111="","",IFERROR(G111/F111,0))</x:f>
      </x:c>
    </x:row>
    <x:row r="112">
      <x:c r="A112" s="102" t="n">
        <x:v>6</x:v>
      </x:c>
      <x:c r="B112" s="103" t="n">
        <x:v>7</x:v>
      </x:c>
      <x:c r="C112" s="83"/>
      <x:c r="D112" s="83" t="str">
        <x:f>IFERROR(INDEX('学员台账'!$B$6:$B$25,MATCH(C112,'学员台账'!$A$6:$A$25,0)),"")</x:f>
      </x:c>
      <x:c r="E112" s="83" t="n">
        <x:v>3</x:v>
      </x:c>
      <x:c r="F112" s="83"/>
      <x:c r="G112" s="83"/>
      <x:c r="H112" s="83"/>
      <x:c r="I112" s="83"/>
      <x:c r="J112" s="83"/>
      <x:c r="K112" s="83"/>
      <x:c r="L112" s="83"/>
      <x:c r="M112" s="84"/>
      <x:c r="N112" s="86" t="str">
        <x:f>IF(C112="","",IFERROR(F112/E112,0))</x:f>
      </x:c>
      <x:c r="O112" s="107" t="str">
        <x:f>IF(C112="","",IFERROR(G112/F112,0))</x:f>
      </x:c>
    </x:row>
    <x:row r="113">
      <x:c r="A113" s="102" t="n">
        <x:v>6</x:v>
      </x:c>
      <x:c r="B113" s="103" t="n">
        <x:v>8</x:v>
      </x:c>
      <x:c r="C113" s="83"/>
      <x:c r="D113" s="83" t="str">
        <x:f>IFERROR(INDEX('学员台账'!$B$6:$B$25,MATCH(C113,'学员台账'!$A$6:$A$25,0)),"")</x:f>
      </x:c>
      <x:c r="E113" s="83" t="n">
        <x:v>3</x:v>
      </x:c>
      <x:c r="F113" s="83"/>
      <x:c r="G113" s="83"/>
      <x:c r="H113" s="83"/>
      <x:c r="I113" s="83"/>
      <x:c r="J113" s="83"/>
      <x:c r="K113" s="83"/>
      <x:c r="L113" s="83"/>
      <x:c r="M113" s="84"/>
      <x:c r="N113" s="86" t="str">
        <x:f>IF(C113="","",IFERROR(F113/E113,0))</x:f>
      </x:c>
      <x:c r="O113" s="107" t="str">
        <x:f>IF(C113="","",IFERROR(G113/F113,0))</x:f>
      </x:c>
    </x:row>
    <x:row r="114">
      <x:c r="A114" s="102" t="n">
        <x:v>6</x:v>
      </x:c>
      <x:c r="B114" s="103" t="n">
        <x:v>9</x:v>
      </x:c>
      <x:c r="C114" s="83"/>
      <x:c r="D114" s="83" t="str">
        <x:f>IFERROR(INDEX('学员台账'!$B$6:$B$25,MATCH(C114,'学员台账'!$A$6:$A$25,0)),"")</x:f>
      </x:c>
      <x:c r="E114" s="83" t="n">
        <x:v>3</x:v>
      </x:c>
      <x:c r="F114" s="83"/>
      <x:c r="G114" s="83"/>
      <x:c r="H114" s="83"/>
      <x:c r="I114" s="83"/>
      <x:c r="J114" s="83"/>
      <x:c r="K114" s="83"/>
      <x:c r="L114" s="83"/>
      <x:c r="M114" s="84"/>
      <x:c r="N114" s="86" t="str">
        <x:f>IF(C114="","",IFERROR(F114/E114,0))</x:f>
      </x:c>
      <x:c r="O114" s="107" t="str">
        <x:f>IF(C114="","",IFERROR(G114/F114,0))</x:f>
      </x:c>
    </x:row>
    <x:row r="115">
      <x:c r="A115" s="102" t="n">
        <x:v>6</x:v>
      </x:c>
      <x:c r="B115" s="103" t="n">
        <x:v>10</x:v>
      </x:c>
      <x:c r="C115" s="83"/>
      <x:c r="D115" s="83" t="str">
        <x:f>IFERROR(INDEX('学员台账'!$B$6:$B$25,MATCH(C115,'学员台账'!$A$6:$A$25,0)),"")</x:f>
      </x:c>
      <x:c r="E115" s="83" t="n">
        <x:v>3</x:v>
      </x:c>
      <x:c r="F115" s="83"/>
      <x:c r="G115" s="83"/>
      <x:c r="H115" s="83"/>
      <x:c r="I115" s="83"/>
      <x:c r="J115" s="83"/>
      <x:c r="K115" s="83"/>
      <x:c r="L115" s="83"/>
      <x:c r="M115" s="84"/>
      <x:c r="N115" s="86" t="str">
        <x:f>IF(C115="","",IFERROR(F115/E115,0))</x:f>
      </x:c>
      <x:c r="O115" s="107" t="str">
        <x:f>IF(C115="","",IFERROR(G115/F115,0))</x:f>
      </x:c>
    </x:row>
    <x:row r="116">
      <x:c r="A116" s="102" t="n">
        <x:v>6</x:v>
      </x:c>
      <x:c r="B116" s="103" t="n">
        <x:v>11</x:v>
      </x:c>
      <x:c r="C116" s="83"/>
      <x:c r="D116" s="83" t="str">
        <x:f>IFERROR(INDEX('学员台账'!$B$6:$B$25,MATCH(C116,'学员台账'!$A$6:$A$25,0)),"")</x:f>
      </x:c>
      <x:c r="E116" s="83" t="n">
        <x:v>3</x:v>
      </x:c>
      <x:c r="F116" s="83"/>
      <x:c r="G116" s="83"/>
      <x:c r="H116" s="83"/>
      <x:c r="I116" s="83"/>
      <x:c r="J116" s="83"/>
      <x:c r="K116" s="83"/>
      <x:c r="L116" s="83"/>
      <x:c r="M116" s="84"/>
      <x:c r="N116" s="86" t="str">
        <x:f>IF(C116="","",IFERROR(F116/E116,0))</x:f>
      </x:c>
      <x:c r="O116" s="107" t="str">
        <x:f>IF(C116="","",IFERROR(G116/F116,0))</x:f>
      </x:c>
    </x:row>
    <x:row r="117">
      <x:c r="A117" s="102" t="n">
        <x:v>6</x:v>
      </x:c>
      <x:c r="B117" s="103" t="n">
        <x:v>12</x:v>
      </x:c>
      <x:c r="C117" s="83"/>
      <x:c r="D117" s="83" t="str">
        <x:f>IFERROR(INDEX('学员台账'!$B$6:$B$25,MATCH(C117,'学员台账'!$A$6:$A$25,0)),"")</x:f>
      </x:c>
      <x:c r="E117" s="83" t="n">
        <x:v>3</x:v>
      </x:c>
      <x:c r="F117" s="83"/>
      <x:c r="G117" s="83"/>
      <x:c r="H117" s="83"/>
      <x:c r="I117" s="83"/>
      <x:c r="J117" s="83"/>
      <x:c r="K117" s="83"/>
      <x:c r="L117" s="83"/>
      <x:c r="M117" s="84"/>
      <x:c r="N117" s="86" t="str">
        <x:f>IF(C117="","",IFERROR(F117/E117,0))</x:f>
      </x:c>
      <x:c r="O117" s="107" t="str">
        <x:f>IF(C117="","",IFERROR(G117/F117,0))</x:f>
      </x:c>
    </x:row>
    <x:row r="118">
      <x:c r="A118" s="102" t="n">
        <x:v>6</x:v>
      </x:c>
      <x:c r="B118" s="103" t="n">
        <x:v>13</x:v>
      </x:c>
      <x:c r="C118" s="83"/>
      <x:c r="D118" s="83" t="str">
        <x:f>IFERROR(INDEX('学员台账'!$B$6:$B$25,MATCH(C118,'学员台账'!$A$6:$A$25,0)),"")</x:f>
      </x:c>
      <x:c r="E118" s="83" t="n">
        <x:v>3</x:v>
      </x:c>
      <x:c r="F118" s="83"/>
      <x:c r="G118" s="83"/>
      <x:c r="H118" s="83"/>
      <x:c r="I118" s="83"/>
      <x:c r="J118" s="83"/>
      <x:c r="K118" s="83"/>
      <x:c r="L118" s="83"/>
      <x:c r="M118" s="84"/>
      <x:c r="N118" s="86" t="str">
        <x:f>IF(C118="","",IFERROR(F118/E118,0))</x:f>
      </x:c>
      <x:c r="O118" s="107" t="str">
        <x:f>IF(C118="","",IFERROR(G118/F118,0))</x:f>
      </x:c>
    </x:row>
    <x:row r="119">
      <x:c r="A119" s="102" t="n">
        <x:v>6</x:v>
      </x:c>
      <x:c r="B119" s="103" t="n">
        <x:v>14</x:v>
      </x:c>
      <x:c r="C119" s="83"/>
      <x:c r="D119" s="83" t="str">
        <x:f>IFERROR(INDEX('学员台账'!$B$6:$B$25,MATCH(C119,'学员台账'!$A$6:$A$25,0)),"")</x:f>
      </x:c>
      <x:c r="E119" s="83" t="n">
        <x:v>3</x:v>
      </x:c>
      <x:c r="F119" s="83"/>
      <x:c r="G119" s="83"/>
      <x:c r="H119" s="83"/>
      <x:c r="I119" s="83"/>
      <x:c r="J119" s="83"/>
      <x:c r="K119" s="83"/>
      <x:c r="L119" s="83"/>
      <x:c r="M119" s="84"/>
      <x:c r="N119" s="86" t="str">
        <x:f>IF(C119="","",IFERROR(F119/E119,0))</x:f>
      </x:c>
      <x:c r="O119" s="107" t="str">
        <x:f>IF(C119="","",IFERROR(G119/F119,0))</x:f>
      </x:c>
    </x:row>
    <x:row r="120">
      <x:c r="A120" s="102" t="n">
        <x:v>6</x:v>
      </x:c>
      <x:c r="B120" s="103" t="n">
        <x:v>15</x:v>
      </x:c>
      <x:c r="C120" s="83"/>
      <x:c r="D120" s="83" t="str">
        <x:f>IFERROR(INDEX('学员台账'!$B$6:$B$25,MATCH(C120,'学员台账'!$A$6:$A$25,0)),"")</x:f>
      </x:c>
      <x:c r="E120" s="83" t="n">
        <x:v>3</x:v>
      </x:c>
      <x:c r="F120" s="83"/>
      <x:c r="G120" s="83"/>
      <x:c r="H120" s="83"/>
      <x:c r="I120" s="83"/>
      <x:c r="J120" s="83"/>
      <x:c r="K120" s="83"/>
      <x:c r="L120" s="83"/>
      <x:c r="M120" s="84"/>
      <x:c r="N120" s="86" t="str">
        <x:f>IF(C120="","",IFERROR(F120/E120,0))</x:f>
      </x:c>
      <x:c r="O120" s="107" t="str">
        <x:f>IF(C120="","",IFERROR(G120/F120,0))</x:f>
      </x:c>
    </x:row>
    <x:row r="121">
      <x:c r="A121" s="102" t="n">
        <x:v>6</x:v>
      </x:c>
      <x:c r="B121" s="103" t="n">
        <x:v>16</x:v>
      </x:c>
      <x:c r="C121" s="83"/>
      <x:c r="D121" s="83" t="str">
        <x:f>IFERROR(INDEX('学员台账'!$B$6:$B$25,MATCH(C121,'学员台账'!$A$6:$A$25,0)),"")</x:f>
      </x:c>
      <x:c r="E121" s="83" t="n">
        <x:v>3</x:v>
      </x:c>
      <x:c r="F121" s="83"/>
      <x:c r="G121" s="83"/>
      <x:c r="H121" s="83"/>
      <x:c r="I121" s="83"/>
      <x:c r="J121" s="83"/>
      <x:c r="K121" s="83"/>
      <x:c r="L121" s="83"/>
      <x:c r="M121" s="84"/>
      <x:c r="N121" s="86" t="str">
        <x:f>IF(C121="","",IFERROR(F121/E121,0))</x:f>
      </x:c>
      <x:c r="O121" s="107" t="str">
        <x:f>IF(C121="","",IFERROR(G121/F121,0))</x:f>
      </x:c>
    </x:row>
    <x:row r="122">
      <x:c r="A122" s="102" t="n">
        <x:v>6</x:v>
      </x:c>
      <x:c r="B122" s="103" t="n">
        <x:v>17</x:v>
      </x:c>
      <x:c r="C122" s="83"/>
      <x:c r="D122" s="83" t="str">
        <x:f>IFERROR(INDEX('学员台账'!$B$6:$B$25,MATCH(C122,'学员台账'!$A$6:$A$25,0)),"")</x:f>
      </x:c>
      <x:c r="E122" s="83" t="n">
        <x:v>3</x:v>
      </x:c>
      <x:c r="F122" s="83"/>
      <x:c r="G122" s="83"/>
      <x:c r="H122" s="83"/>
      <x:c r="I122" s="83"/>
      <x:c r="J122" s="83"/>
      <x:c r="K122" s="83"/>
      <x:c r="L122" s="83"/>
      <x:c r="M122" s="84"/>
      <x:c r="N122" s="86" t="str">
        <x:f>IF(C122="","",IFERROR(F122/E122,0))</x:f>
      </x:c>
      <x:c r="O122" s="107" t="str">
        <x:f>IF(C122="","",IFERROR(G122/F122,0))</x:f>
      </x:c>
    </x:row>
    <x:row r="123">
      <x:c r="A123" s="102" t="n">
        <x:v>6</x:v>
      </x:c>
      <x:c r="B123" s="103" t="n">
        <x:v>18</x:v>
      </x:c>
      <x:c r="C123" s="83"/>
      <x:c r="D123" s="83" t="str">
        <x:f>IFERROR(INDEX('学员台账'!$B$6:$B$25,MATCH(C123,'学员台账'!$A$6:$A$25,0)),"")</x:f>
      </x:c>
      <x:c r="E123" s="83" t="n">
        <x:v>3</x:v>
      </x:c>
      <x:c r="F123" s="83"/>
      <x:c r="G123" s="83"/>
      <x:c r="H123" s="83"/>
      <x:c r="I123" s="83"/>
      <x:c r="J123" s="83"/>
      <x:c r="K123" s="83"/>
      <x:c r="L123" s="83"/>
      <x:c r="M123" s="84"/>
      <x:c r="N123" s="86" t="str">
        <x:f>IF(C123="","",IFERROR(F123/E123,0))</x:f>
      </x:c>
      <x:c r="O123" s="107" t="str">
        <x:f>IF(C123="","",IFERROR(G123/F123,0))</x:f>
      </x:c>
    </x:row>
    <x:row r="124">
      <x:c r="A124" s="102" t="n">
        <x:v>6</x:v>
      </x:c>
      <x:c r="B124" s="103" t="n">
        <x:v>19</x:v>
      </x:c>
      <x:c r="C124" s="83"/>
      <x:c r="D124" s="83" t="str">
        <x:f>IFERROR(INDEX('学员台账'!$B$6:$B$25,MATCH(C124,'学员台账'!$A$6:$A$25,0)),"")</x:f>
      </x:c>
      <x:c r="E124" s="83" t="n">
        <x:v>3</x:v>
      </x:c>
      <x:c r="F124" s="83"/>
      <x:c r="G124" s="83"/>
      <x:c r="H124" s="83"/>
      <x:c r="I124" s="83"/>
      <x:c r="J124" s="83"/>
      <x:c r="K124" s="83"/>
      <x:c r="L124" s="83"/>
      <x:c r="M124" s="84"/>
      <x:c r="N124" s="86" t="str">
        <x:f>IF(C124="","",IFERROR(F124/E124,0))</x:f>
      </x:c>
      <x:c r="O124" s="107" t="str">
        <x:f>IF(C124="","",IFERROR(G124/F124,0))</x:f>
      </x:c>
    </x:row>
    <x:row r="125">
      <x:c r="A125" s="102" t="n">
        <x:v>6</x:v>
      </x:c>
      <x:c r="B125" s="103" t="n">
        <x:v>20</x:v>
      </x:c>
      <x:c r="C125" s="83"/>
      <x:c r="D125" s="83" t="str">
        <x:f>IFERROR(INDEX('学员台账'!$B$6:$B$25,MATCH(C125,'学员台账'!$A$6:$A$25,0)),"")</x:f>
      </x:c>
      <x:c r="E125" s="83" t="n">
        <x:v>3</x:v>
      </x:c>
      <x:c r="F125" s="83"/>
      <x:c r="G125" s="83"/>
      <x:c r="H125" s="83"/>
      <x:c r="I125" s="83"/>
      <x:c r="J125" s="83"/>
      <x:c r="K125" s="83"/>
      <x:c r="L125" s="83"/>
      <x:c r="M125" s="84"/>
      <x:c r="N125" s="86" t="str">
        <x:f>IF(C125="","",IFERROR(F125/E125,0))</x:f>
      </x:c>
      <x:c r="O125" s="107" t="str">
        <x:f>IF(C125="","",IFERROR(G125/F125,0))</x:f>
      </x:c>
    </x:row>
    <x:row r="126">
      <x:c r="A126" s="102" t="n">
        <x:v>7</x:v>
      </x:c>
      <x:c r="B126" s="103" t="n">
        <x:v>1</x:v>
      </x:c>
      <x:c r="C126" s="83"/>
      <x:c r="D126" s="83" t="str">
        <x:f>IFERROR(INDEX('学员台账'!$B$6:$B$25,MATCH(C126,'学员台账'!$A$6:$A$25,0)),"")</x:f>
      </x:c>
      <x:c r="E126" s="83" t="n">
        <x:v>3</x:v>
      </x:c>
      <x:c r="F126" s="83"/>
      <x:c r="G126" s="83"/>
      <x:c r="H126" s="83"/>
      <x:c r="I126" s="83"/>
      <x:c r="J126" s="83"/>
      <x:c r="K126" s="83"/>
      <x:c r="L126" s="83"/>
      <x:c r="M126" s="84"/>
      <x:c r="N126" s="86" t="str">
        <x:f>IF(C126="","",IFERROR(F126/E126,0))</x:f>
      </x:c>
      <x:c r="O126" s="107" t="str">
        <x:f>IF(C126="","",IFERROR(G126/F126,0))</x:f>
      </x:c>
    </x:row>
    <x:row r="127">
      <x:c r="A127" s="102" t="n">
        <x:v>7</x:v>
      </x:c>
      <x:c r="B127" s="103" t="n">
        <x:v>2</x:v>
      </x:c>
      <x:c r="C127" s="83"/>
      <x:c r="D127" s="83" t="str">
        <x:f>IFERROR(INDEX('学员台账'!$B$6:$B$25,MATCH(C127,'学员台账'!$A$6:$A$25,0)),"")</x:f>
      </x:c>
      <x:c r="E127" s="83" t="n">
        <x:v>3</x:v>
      </x:c>
      <x:c r="F127" s="83"/>
      <x:c r="G127" s="83"/>
      <x:c r="H127" s="83"/>
      <x:c r="I127" s="83"/>
      <x:c r="J127" s="83"/>
      <x:c r="K127" s="83"/>
      <x:c r="L127" s="83"/>
      <x:c r="M127" s="84"/>
      <x:c r="N127" s="86" t="str">
        <x:f>IF(C127="","",IFERROR(F127/E127,0))</x:f>
      </x:c>
      <x:c r="O127" s="107" t="str">
        <x:f>IF(C127="","",IFERROR(G127/F127,0))</x:f>
      </x:c>
    </x:row>
    <x:row r="128">
      <x:c r="A128" s="102" t="n">
        <x:v>7</x:v>
      </x:c>
      <x:c r="B128" s="103" t="n">
        <x:v>3</x:v>
      </x:c>
      <x:c r="C128" s="83"/>
      <x:c r="D128" s="83" t="str">
        <x:f>IFERROR(INDEX('学员台账'!$B$6:$B$25,MATCH(C128,'学员台账'!$A$6:$A$25,0)),"")</x:f>
      </x:c>
      <x:c r="E128" s="83" t="n">
        <x:v>3</x:v>
      </x:c>
      <x:c r="F128" s="83"/>
      <x:c r="G128" s="83"/>
      <x:c r="H128" s="83"/>
      <x:c r="I128" s="83"/>
      <x:c r="J128" s="83"/>
      <x:c r="K128" s="83"/>
      <x:c r="L128" s="83"/>
      <x:c r="M128" s="84"/>
      <x:c r="N128" s="86" t="str">
        <x:f>IF(C128="","",IFERROR(F128/E128,0))</x:f>
      </x:c>
      <x:c r="O128" s="107" t="str">
        <x:f>IF(C128="","",IFERROR(G128/F128,0))</x:f>
      </x:c>
    </x:row>
    <x:row r="129">
      <x:c r="A129" s="102" t="n">
        <x:v>7</x:v>
      </x:c>
      <x:c r="B129" s="103" t="n">
        <x:v>4</x:v>
      </x:c>
      <x:c r="C129" s="83"/>
      <x:c r="D129" s="83" t="str">
        <x:f>IFERROR(INDEX('学员台账'!$B$6:$B$25,MATCH(C129,'学员台账'!$A$6:$A$25,0)),"")</x:f>
      </x:c>
      <x:c r="E129" s="83" t="n">
        <x:v>3</x:v>
      </x:c>
      <x:c r="F129" s="83"/>
      <x:c r="G129" s="83"/>
      <x:c r="H129" s="83"/>
      <x:c r="I129" s="83"/>
      <x:c r="J129" s="83"/>
      <x:c r="K129" s="83"/>
      <x:c r="L129" s="83"/>
      <x:c r="M129" s="84"/>
      <x:c r="N129" s="86" t="str">
        <x:f>IF(C129="","",IFERROR(F129/E129,0))</x:f>
      </x:c>
      <x:c r="O129" s="107" t="str">
        <x:f>IF(C129="","",IFERROR(G129/F129,0))</x:f>
      </x:c>
    </x:row>
    <x:row r="130">
      <x:c r="A130" s="102" t="n">
        <x:v>7</x:v>
      </x:c>
      <x:c r="B130" s="103" t="n">
        <x:v>5</x:v>
      </x:c>
      <x:c r="C130" s="83"/>
      <x:c r="D130" s="83" t="str">
        <x:f>IFERROR(INDEX('学员台账'!$B$6:$B$25,MATCH(C130,'学员台账'!$A$6:$A$25,0)),"")</x:f>
      </x:c>
      <x:c r="E130" s="83" t="n">
        <x:v>3</x:v>
      </x:c>
      <x:c r="F130" s="83"/>
      <x:c r="G130" s="83"/>
      <x:c r="H130" s="83"/>
      <x:c r="I130" s="83"/>
      <x:c r="J130" s="83"/>
      <x:c r="K130" s="83"/>
      <x:c r="L130" s="83"/>
      <x:c r="M130" s="84"/>
      <x:c r="N130" s="86" t="str">
        <x:f>IF(C130="","",IFERROR(F130/E130,0))</x:f>
      </x:c>
      <x:c r="O130" s="107" t="str">
        <x:f>IF(C130="","",IFERROR(G130/F130,0))</x:f>
      </x:c>
    </x:row>
    <x:row r="131">
      <x:c r="A131" s="102" t="n">
        <x:v>7</x:v>
      </x:c>
      <x:c r="B131" s="103" t="n">
        <x:v>6</x:v>
      </x:c>
      <x:c r="C131" s="83"/>
      <x:c r="D131" s="83" t="str">
        <x:f>IFERROR(INDEX('学员台账'!$B$6:$B$25,MATCH(C131,'学员台账'!$A$6:$A$25,0)),"")</x:f>
      </x:c>
      <x:c r="E131" s="83" t="n">
        <x:v>3</x:v>
      </x:c>
      <x:c r="F131" s="83"/>
      <x:c r="G131" s="83"/>
      <x:c r="H131" s="83"/>
      <x:c r="I131" s="83"/>
      <x:c r="J131" s="83"/>
      <x:c r="K131" s="83"/>
      <x:c r="L131" s="83"/>
      <x:c r="M131" s="84"/>
      <x:c r="N131" s="86" t="str">
        <x:f>IF(C131="","",IFERROR(F131/E131,0))</x:f>
      </x:c>
      <x:c r="O131" s="107" t="str">
        <x:f>IF(C131="","",IFERROR(G131/F131,0))</x:f>
      </x:c>
    </x:row>
    <x:row r="132">
      <x:c r="A132" s="102" t="n">
        <x:v>7</x:v>
      </x:c>
      <x:c r="B132" s="103" t="n">
        <x:v>7</x:v>
      </x:c>
      <x:c r="C132" s="83"/>
      <x:c r="D132" s="83" t="str">
        <x:f>IFERROR(INDEX('学员台账'!$B$6:$B$25,MATCH(C132,'学员台账'!$A$6:$A$25,0)),"")</x:f>
      </x:c>
      <x:c r="E132" s="83" t="n">
        <x:v>3</x:v>
      </x:c>
      <x:c r="F132" s="83"/>
      <x:c r="G132" s="83"/>
      <x:c r="H132" s="83"/>
      <x:c r="I132" s="83"/>
      <x:c r="J132" s="83"/>
      <x:c r="K132" s="83"/>
      <x:c r="L132" s="83"/>
      <x:c r="M132" s="84"/>
      <x:c r="N132" s="86" t="str">
        <x:f>IF(C132="","",IFERROR(F132/E132,0))</x:f>
      </x:c>
      <x:c r="O132" s="107" t="str">
        <x:f>IF(C132="","",IFERROR(G132/F132,0))</x:f>
      </x:c>
    </x:row>
    <x:row r="133">
      <x:c r="A133" s="102" t="n">
        <x:v>7</x:v>
      </x:c>
      <x:c r="B133" s="103" t="n">
        <x:v>8</x:v>
      </x:c>
      <x:c r="C133" s="83"/>
      <x:c r="D133" s="83" t="str">
        <x:f>IFERROR(INDEX('学员台账'!$B$6:$B$25,MATCH(C133,'学员台账'!$A$6:$A$25,0)),"")</x:f>
      </x:c>
      <x:c r="E133" s="83" t="n">
        <x:v>3</x:v>
      </x:c>
      <x:c r="F133" s="83"/>
      <x:c r="G133" s="83"/>
      <x:c r="H133" s="83"/>
      <x:c r="I133" s="83"/>
      <x:c r="J133" s="83"/>
      <x:c r="K133" s="83"/>
      <x:c r="L133" s="83"/>
      <x:c r="M133" s="84"/>
      <x:c r="N133" s="86" t="str">
        <x:f>IF(C133="","",IFERROR(F133/E133,0))</x:f>
      </x:c>
      <x:c r="O133" s="107" t="str">
        <x:f>IF(C133="","",IFERROR(G133/F133,0))</x:f>
      </x:c>
    </x:row>
    <x:row r="134">
      <x:c r="A134" s="102" t="n">
        <x:v>7</x:v>
      </x:c>
      <x:c r="B134" s="103" t="n">
        <x:v>9</x:v>
      </x:c>
      <x:c r="C134" s="83"/>
      <x:c r="D134" s="83" t="str">
        <x:f>IFERROR(INDEX('学员台账'!$B$6:$B$25,MATCH(C134,'学员台账'!$A$6:$A$25,0)),"")</x:f>
      </x:c>
      <x:c r="E134" s="83" t="n">
        <x:v>3</x:v>
      </x:c>
      <x:c r="F134" s="83"/>
      <x:c r="G134" s="83"/>
      <x:c r="H134" s="83"/>
      <x:c r="I134" s="83"/>
      <x:c r="J134" s="83"/>
      <x:c r="K134" s="83"/>
      <x:c r="L134" s="83"/>
      <x:c r="M134" s="84"/>
      <x:c r="N134" s="86" t="str">
        <x:f>IF(C134="","",IFERROR(F134/E134,0))</x:f>
      </x:c>
      <x:c r="O134" s="107" t="str">
        <x:f>IF(C134="","",IFERROR(G134/F134,0))</x:f>
      </x:c>
    </x:row>
    <x:row r="135">
      <x:c r="A135" s="102" t="n">
        <x:v>7</x:v>
      </x:c>
      <x:c r="B135" s="103" t="n">
        <x:v>10</x:v>
      </x:c>
      <x:c r="C135" s="83"/>
      <x:c r="D135" s="83" t="str">
        <x:f>IFERROR(INDEX('学员台账'!$B$6:$B$25,MATCH(C135,'学员台账'!$A$6:$A$25,0)),"")</x:f>
      </x:c>
      <x:c r="E135" s="83" t="n">
        <x:v>3</x:v>
      </x:c>
      <x:c r="F135" s="83"/>
      <x:c r="G135" s="83"/>
      <x:c r="H135" s="83"/>
      <x:c r="I135" s="83"/>
      <x:c r="J135" s="83"/>
      <x:c r="K135" s="83"/>
      <x:c r="L135" s="83"/>
      <x:c r="M135" s="84"/>
      <x:c r="N135" s="86" t="str">
        <x:f>IF(C135="","",IFERROR(F135/E135,0))</x:f>
      </x:c>
      <x:c r="O135" s="107" t="str">
        <x:f>IF(C135="","",IFERROR(G135/F135,0))</x:f>
      </x:c>
    </x:row>
    <x:row r="136">
      <x:c r="A136" s="102" t="n">
        <x:v>7</x:v>
      </x:c>
      <x:c r="B136" s="103" t="n">
        <x:v>11</x:v>
      </x:c>
      <x:c r="C136" s="83"/>
      <x:c r="D136" s="83" t="str">
        <x:f>IFERROR(INDEX('学员台账'!$B$6:$B$25,MATCH(C136,'学员台账'!$A$6:$A$25,0)),"")</x:f>
      </x:c>
      <x:c r="E136" s="83" t="n">
        <x:v>3</x:v>
      </x:c>
      <x:c r="F136" s="83"/>
      <x:c r="G136" s="83"/>
      <x:c r="H136" s="83"/>
      <x:c r="I136" s="83"/>
      <x:c r="J136" s="83"/>
      <x:c r="K136" s="83"/>
      <x:c r="L136" s="83"/>
      <x:c r="M136" s="84"/>
      <x:c r="N136" s="86" t="str">
        <x:f>IF(C136="","",IFERROR(F136/E136,0))</x:f>
      </x:c>
      <x:c r="O136" s="107" t="str">
        <x:f>IF(C136="","",IFERROR(G136/F136,0))</x:f>
      </x:c>
    </x:row>
    <x:row r="137">
      <x:c r="A137" s="102" t="n">
        <x:v>7</x:v>
      </x:c>
      <x:c r="B137" s="103" t="n">
        <x:v>12</x:v>
      </x:c>
      <x:c r="C137" s="83"/>
      <x:c r="D137" s="83" t="str">
        <x:f>IFERROR(INDEX('学员台账'!$B$6:$B$25,MATCH(C137,'学员台账'!$A$6:$A$25,0)),"")</x:f>
      </x:c>
      <x:c r="E137" s="83" t="n">
        <x:v>3</x:v>
      </x:c>
      <x:c r="F137" s="83"/>
      <x:c r="G137" s="83"/>
      <x:c r="H137" s="83"/>
      <x:c r="I137" s="83"/>
      <x:c r="J137" s="83"/>
      <x:c r="K137" s="83"/>
      <x:c r="L137" s="83"/>
      <x:c r="M137" s="84"/>
      <x:c r="N137" s="86" t="str">
        <x:f>IF(C137="","",IFERROR(F137/E137,0))</x:f>
      </x:c>
      <x:c r="O137" s="107" t="str">
        <x:f>IF(C137="","",IFERROR(G137/F137,0))</x:f>
      </x:c>
    </x:row>
    <x:row r="138">
      <x:c r="A138" s="102" t="n">
        <x:v>7</x:v>
      </x:c>
      <x:c r="B138" s="103" t="n">
        <x:v>13</x:v>
      </x:c>
      <x:c r="C138" s="83"/>
      <x:c r="D138" s="83" t="str">
        <x:f>IFERROR(INDEX('学员台账'!$B$6:$B$25,MATCH(C138,'学员台账'!$A$6:$A$25,0)),"")</x:f>
      </x:c>
      <x:c r="E138" s="83" t="n">
        <x:v>3</x:v>
      </x:c>
      <x:c r="F138" s="83"/>
      <x:c r="G138" s="83"/>
      <x:c r="H138" s="83"/>
      <x:c r="I138" s="83"/>
      <x:c r="J138" s="83"/>
      <x:c r="K138" s="83"/>
      <x:c r="L138" s="83"/>
      <x:c r="M138" s="84"/>
      <x:c r="N138" s="86" t="str">
        <x:f>IF(C138="","",IFERROR(F138/E138,0))</x:f>
      </x:c>
      <x:c r="O138" s="107" t="str">
        <x:f>IF(C138="","",IFERROR(G138/F138,0))</x:f>
      </x:c>
    </x:row>
    <x:row r="139">
      <x:c r="A139" s="102" t="n">
        <x:v>7</x:v>
      </x:c>
      <x:c r="B139" s="103" t="n">
        <x:v>14</x:v>
      </x:c>
      <x:c r="C139" s="83"/>
      <x:c r="D139" s="83" t="str">
        <x:f>IFERROR(INDEX('学员台账'!$B$6:$B$25,MATCH(C139,'学员台账'!$A$6:$A$25,0)),"")</x:f>
      </x:c>
      <x:c r="E139" s="83" t="n">
        <x:v>3</x:v>
      </x:c>
      <x:c r="F139" s="83"/>
      <x:c r="G139" s="83"/>
      <x:c r="H139" s="83"/>
      <x:c r="I139" s="83"/>
      <x:c r="J139" s="83"/>
      <x:c r="K139" s="83"/>
      <x:c r="L139" s="83"/>
      <x:c r="M139" s="84"/>
      <x:c r="N139" s="86" t="str">
        <x:f>IF(C139="","",IFERROR(F139/E139,0))</x:f>
      </x:c>
      <x:c r="O139" s="107" t="str">
        <x:f>IF(C139="","",IFERROR(G139/F139,0))</x:f>
      </x:c>
    </x:row>
    <x:row r="140">
      <x:c r="A140" s="102" t="n">
        <x:v>7</x:v>
      </x:c>
      <x:c r="B140" s="103" t="n">
        <x:v>15</x:v>
      </x:c>
      <x:c r="C140" s="83"/>
      <x:c r="D140" s="83" t="str">
        <x:f>IFERROR(INDEX('学员台账'!$B$6:$B$25,MATCH(C140,'学员台账'!$A$6:$A$25,0)),"")</x:f>
      </x:c>
      <x:c r="E140" s="83" t="n">
        <x:v>3</x:v>
      </x:c>
      <x:c r="F140" s="83"/>
      <x:c r="G140" s="83"/>
      <x:c r="H140" s="83"/>
      <x:c r="I140" s="83"/>
      <x:c r="J140" s="83"/>
      <x:c r="K140" s="83"/>
      <x:c r="L140" s="83"/>
      <x:c r="M140" s="84"/>
      <x:c r="N140" s="86" t="str">
        <x:f>IF(C140="","",IFERROR(F140/E140,0))</x:f>
      </x:c>
      <x:c r="O140" s="107" t="str">
        <x:f>IF(C140="","",IFERROR(G140/F140,0))</x:f>
      </x:c>
    </x:row>
    <x:row r="141">
      <x:c r="A141" s="102" t="n">
        <x:v>7</x:v>
      </x:c>
      <x:c r="B141" s="103" t="n">
        <x:v>16</x:v>
      </x:c>
      <x:c r="C141" s="83"/>
      <x:c r="D141" s="83" t="str">
        <x:f>IFERROR(INDEX('学员台账'!$B$6:$B$25,MATCH(C141,'学员台账'!$A$6:$A$25,0)),"")</x:f>
      </x:c>
      <x:c r="E141" s="83" t="n">
        <x:v>3</x:v>
      </x:c>
      <x:c r="F141" s="83"/>
      <x:c r="G141" s="83"/>
      <x:c r="H141" s="83"/>
      <x:c r="I141" s="83"/>
      <x:c r="J141" s="83"/>
      <x:c r="K141" s="83"/>
      <x:c r="L141" s="83"/>
      <x:c r="M141" s="84"/>
      <x:c r="N141" s="86" t="str">
        <x:f>IF(C141="","",IFERROR(F141/E141,0))</x:f>
      </x:c>
      <x:c r="O141" s="107" t="str">
        <x:f>IF(C141="","",IFERROR(G141/F141,0))</x:f>
      </x:c>
    </x:row>
    <x:row r="142">
      <x:c r="A142" s="102" t="n">
        <x:v>7</x:v>
      </x:c>
      <x:c r="B142" s="103" t="n">
        <x:v>17</x:v>
      </x:c>
      <x:c r="C142" s="83"/>
      <x:c r="D142" s="83" t="str">
        <x:f>IFERROR(INDEX('学员台账'!$B$6:$B$25,MATCH(C142,'学员台账'!$A$6:$A$25,0)),"")</x:f>
      </x:c>
      <x:c r="E142" s="83" t="n">
        <x:v>3</x:v>
      </x:c>
      <x:c r="F142" s="83"/>
      <x:c r="G142" s="83"/>
      <x:c r="H142" s="83"/>
      <x:c r="I142" s="83"/>
      <x:c r="J142" s="83"/>
      <x:c r="K142" s="83"/>
      <x:c r="L142" s="83"/>
      <x:c r="M142" s="84"/>
      <x:c r="N142" s="86" t="str">
        <x:f>IF(C142="","",IFERROR(F142/E142,0))</x:f>
      </x:c>
      <x:c r="O142" s="107" t="str">
        <x:f>IF(C142="","",IFERROR(G142/F142,0))</x:f>
      </x:c>
    </x:row>
    <x:row r="143">
      <x:c r="A143" s="102" t="n">
        <x:v>7</x:v>
      </x:c>
      <x:c r="B143" s="103" t="n">
        <x:v>18</x:v>
      </x:c>
      <x:c r="C143" s="83"/>
      <x:c r="D143" s="83" t="str">
        <x:f>IFERROR(INDEX('学员台账'!$B$6:$B$25,MATCH(C143,'学员台账'!$A$6:$A$25,0)),"")</x:f>
      </x:c>
      <x:c r="E143" s="83" t="n">
        <x:v>3</x:v>
      </x:c>
      <x:c r="F143" s="83"/>
      <x:c r="G143" s="83"/>
      <x:c r="H143" s="83"/>
      <x:c r="I143" s="83"/>
      <x:c r="J143" s="83"/>
      <x:c r="K143" s="83"/>
      <x:c r="L143" s="83"/>
      <x:c r="M143" s="84"/>
      <x:c r="N143" s="86" t="str">
        <x:f>IF(C143="","",IFERROR(F143/E143,0))</x:f>
      </x:c>
      <x:c r="O143" s="107" t="str">
        <x:f>IF(C143="","",IFERROR(G143/F143,0))</x:f>
      </x:c>
    </x:row>
    <x:row r="144">
      <x:c r="A144" s="102" t="n">
        <x:v>7</x:v>
      </x:c>
      <x:c r="B144" s="103" t="n">
        <x:v>19</x:v>
      </x:c>
      <x:c r="C144" s="83"/>
      <x:c r="D144" s="83" t="str">
        <x:f>IFERROR(INDEX('学员台账'!$B$6:$B$25,MATCH(C144,'学员台账'!$A$6:$A$25,0)),"")</x:f>
      </x:c>
      <x:c r="E144" s="83" t="n">
        <x:v>3</x:v>
      </x:c>
      <x:c r="F144" s="83"/>
      <x:c r="G144" s="83"/>
      <x:c r="H144" s="83"/>
      <x:c r="I144" s="83"/>
      <x:c r="J144" s="83"/>
      <x:c r="K144" s="83"/>
      <x:c r="L144" s="83"/>
      <x:c r="M144" s="84"/>
      <x:c r="N144" s="86" t="str">
        <x:f>IF(C144="","",IFERROR(F144/E144,0))</x:f>
      </x:c>
      <x:c r="O144" s="107" t="str">
        <x:f>IF(C144="","",IFERROR(G144/F144,0))</x:f>
      </x:c>
    </x:row>
    <x:row r="145">
      <x:c r="A145" s="102" t="n">
        <x:v>7</x:v>
      </x:c>
      <x:c r="B145" s="103" t="n">
        <x:v>20</x:v>
      </x:c>
      <x:c r="C145" s="83"/>
      <x:c r="D145" s="83" t="str">
        <x:f>IFERROR(INDEX('学员台账'!$B$6:$B$25,MATCH(C145,'学员台账'!$A$6:$A$25,0)),"")</x:f>
      </x:c>
      <x:c r="E145" s="83" t="n">
        <x:v>3</x:v>
      </x:c>
      <x:c r="F145" s="83"/>
      <x:c r="G145" s="83"/>
      <x:c r="H145" s="83"/>
      <x:c r="I145" s="83"/>
      <x:c r="J145" s="83"/>
      <x:c r="K145" s="83"/>
      <x:c r="L145" s="83"/>
      <x:c r="M145" s="84"/>
      <x:c r="N145" s="86" t="str">
        <x:f>IF(C145="","",IFERROR(F145/E145,0))</x:f>
      </x:c>
      <x:c r="O145" s="107" t="str">
        <x:f>IF(C145="","",IFERROR(G145/F145,0))</x:f>
      </x:c>
    </x:row>
    <x:row r="146">
      <x:c r="A146" s="102" t="n">
        <x:v>8</x:v>
      </x:c>
      <x:c r="B146" s="103" t="n">
        <x:v>1</x:v>
      </x:c>
      <x:c r="C146" s="83"/>
      <x:c r="D146" s="83" t="str">
        <x:f>IFERROR(INDEX('学员台账'!$B$6:$B$25,MATCH(C146,'学员台账'!$A$6:$A$25,0)),"")</x:f>
      </x:c>
      <x:c r="E146" s="83" t="n">
        <x:v>3</x:v>
      </x:c>
      <x:c r="F146" s="83"/>
      <x:c r="G146" s="83"/>
      <x:c r="H146" s="83"/>
      <x:c r="I146" s="83"/>
      <x:c r="J146" s="83"/>
      <x:c r="K146" s="83"/>
      <x:c r="L146" s="83"/>
      <x:c r="M146" s="84"/>
      <x:c r="N146" s="86" t="str">
        <x:f>IF(C146="","",IFERROR(F146/E146,0))</x:f>
      </x:c>
      <x:c r="O146" s="107" t="str">
        <x:f>IF(C146="","",IFERROR(G146/F146,0))</x:f>
      </x:c>
    </x:row>
    <x:row r="147">
      <x:c r="A147" s="102" t="n">
        <x:v>8</x:v>
      </x:c>
      <x:c r="B147" s="103" t="n">
        <x:v>2</x:v>
      </x:c>
      <x:c r="C147" s="83"/>
      <x:c r="D147" s="83" t="str">
        <x:f>IFERROR(INDEX('学员台账'!$B$6:$B$25,MATCH(C147,'学员台账'!$A$6:$A$25,0)),"")</x:f>
      </x:c>
      <x:c r="E147" s="83" t="n">
        <x:v>3</x:v>
      </x:c>
      <x:c r="F147" s="83"/>
      <x:c r="G147" s="83"/>
      <x:c r="H147" s="83"/>
      <x:c r="I147" s="83"/>
      <x:c r="J147" s="83"/>
      <x:c r="K147" s="83"/>
      <x:c r="L147" s="83"/>
      <x:c r="M147" s="84"/>
      <x:c r="N147" s="86" t="str">
        <x:f>IF(C147="","",IFERROR(F147/E147,0))</x:f>
      </x:c>
      <x:c r="O147" s="107" t="str">
        <x:f>IF(C147="","",IFERROR(G147/F147,0))</x:f>
      </x:c>
    </x:row>
    <x:row r="148">
      <x:c r="A148" s="102" t="n">
        <x:v>8</x:v>
      </x:c>
      <x:c r="B148" s="103" t="n">
        <x:v>3</x:v>
      </x:c>
      <x:c r="C148" s="83"/>
      <x:c r="D148" s="83" t="str">
        <x:f>IFERROR(INDEX('学员台账'!$B$6:$B$25,MATCH(C148,'学员台账'!$A$6:$A$25,0)),"")</x:f>
      </x:c>
      <x:c r="E148" s="83" t="n">
        <x:v>3</x:v>
      </x:c>
      <x:c r="F148" s="83"/>
      <x:c r="G148" s="83"/>
      <x:c r="H148" s="83"/>
      <x:c r="I148" s="83"/>
      <x:c r="J148" s="83"/>
      <x:c r="K148" s="83"/>
      <x:c r="L148" s="83"/>
      <x:c r="M148" s="84"/>
      <x:c r="N148" s="86" t="str">
        <x:f>IF(C148="","",IFERROR(F148/E148,0))</x:f>
      </x:c>
      <x:c r="O148" s="107" t="str">
        <x:f>IF(C148="","",IFERROR(G148/F148,0))</x:f>
      </x:c>
    </x:row>
    <x:row r="149">
      <x:c r="A149" s="102" t="n">
        <x:v>8</x:v>
      </x:c>
      <x:c r="B149" s="103" t="n">
        <x:v>4</x:v>
      </x:c>
      <x:c r="C149" s="83"/>
      <x:c r="D149" s="83" t="str">
        <x:f>IFERROR(INDEX('学员台账'!$B$6:$B$25,MATCH(C149,'学员台账'!$A$6:$A$25,0)),"")</x:f>
      </x:c>
      <x:c r="E149" s="83" t="n">
        <x:v>3</x:v>
      </x:c>
      <x:c r="F149" s="83"/>
      <x:c r="G149" s="83"/>
      <x:c r="H149" s="83"/>
      <x:c r="I149" s="83"/>
      <x:c r="J149" s="83"/>
      <x:c r="K149" s="83"/>
      <x:c r="L149" s="83"/>
      <x:c r="M149" s="84"/>
      <x:c r="N149" s="86" t="str">
        <x:f>IF(C149="","",IFERROR(F149/E149,0))</x:f>
      </x:c>
      <x:c r="O149" s="107" t="str">
        <x:f>IF(C149="","",IFERROR(G149/F149,0))</x:f>
      </x:c>
    </x:row>
    <x:row r="150">
      <x:c r="A150" s="102" t="n">
        <x:v>8</x:v>
      </x:c>
      <x:c r="B150" s="103" t="n">
        <x:v>5</x:v>
      </x:c>
      <x:c r="C150" s="83"/>
      <x:c r="D150" s="83" t="str">
        <x:f>IFERROR(INDEX('学员台账'!$B$6:$B$25,MATCH(C150,'学员台账'!$A$6:$A$25,0)),"")</x:f>
      </x:c>
      <x:c r="E150" s="83" t="n">
        <x:v>3</x:v>
      </x:c>
      <x:c r="F150" s="83"/>
      <x:c r="G150" s="83"/>
      <x:c r="H150" s="83"/>
      <x:c r="I150" s="83"/>
      <x:c r="J150" s="83"/>
      <x:c r="K150" s="83"/>
      <x:c r="L150" s="83"/>
      <x:c r="M150" s="84"/>
      <x:c r="N150" s="86" t="str">
        <x:f>IF(C150="","",IFERROR(F150/E150,0))</x:f>
      </x:c>
      <x:c r="O150" s="107" t="str">
        <x:f>IF(C150="","",IFERROR(G150/F150,0))</x:f>
      </x:c>
    </x:row>
    <x:row r="151">
      <x:c r="A151" s="102" t="n">
        <x:v>8</x:v>
      </x:c>
      <x:c r="B151" s="103" t="n">
        <x:v>6</x:v>
      </x:c>
      <x:c r="C151" s="83"/>
      <x:c r="D151" s="83" t="str">
        <x:f>IFERROR(INDEX('学员台账'!$B$6:$B$25,MATCH(C151,'学员台账'!$A$6:$A$25,0)),"")</x:f>
      </x:c>
      <x:c r="E151" s="83" t="n">
        <x:v>3</x:v>
      </x:c>
      <x:c r="F151" s="83"/>
      <x:c r="G151" s="83"/>
      <x:c r="H151" s="83"/>
      <x:c r="I151" s="83"/>
      <x:c r="J151" s="83"/>
      <x:c r="K151" s="83"/>
      <x:c r="L151" s="83"/>
      <x:c r="M151" s="84"/>
      <x:c r="N151" s="86" t="str">
        <x:f>IF(C151="","",IFERROR(F151/E151,0))</x:f>
      </x:c>
      <x:c r="O151" s="107" t="str">
        <x:f>IF(C151="","",IFERROR(G151/F151,0))</x:f>
      </x:c>
    </x:row>
    <x:row r="152">
      <x:c r="A152" s="102" t="n">
        <x:v>8</x:v>
      </x:c>
      <x:c r="B152" s="103" t="n">
        <x:v>7</x:v>
      </x:c>
      <x:c r="C152" s="83"/>
      <x:c r="D152" s="83" t="str">
        <x:f>IFERROR(INDEX('学员台账'!$B$6:$B$25,MATCH(C152,'学员台账'!$A$6:$A$25,0)),"")</x:f>
      </x:c>
      <x:c r="E152" s="83" t="n">
        <x:v>3</x:v>
      </x:c>
      <x:c r="F152" s="83"/>
      <x:c r="G152" s="83"/>
      <x:c r="H152" s="83"/>
      <x:c r="I152" s="83"/>
      <x:c r="J152" s="83"/>
      <x:c r="K152" s="83"/>
      <x:c r="L152" s="83"/>
      <x:c r="M152" s="84"/>
      <x:c r="N152" s="86" t="str">
        <x:f>IF(C152="","",IFERROR(F152/E152,0))</x:f>
      </x:c>
      <x:c r="O152" s="107" t="str">
        <x:f>IF(C152="","",IFERROR(G152/F152,0))</x:f>
      </x:c>
    </x:row>
    <x:row r="153">
      <x:c r="A153" s="102" t="n">
        <x:v>8</x:v>
      </x:c>
      <x:c r="B153" s="103" t="n">
        <x:v>8</x:v>
      </x:c>
      <x:c r="C153" s="83"/>
      <x:c r="D153" s="83" t="str">
        <x:f>IFERROR(INDEX('学员台账'!$B$6:$B$25,MATCH(C153,'学员台账'!$A$6:$A$25,0)),"")</x:f>
      </x:c>
      <x:c r="E153" s="83" t="n">
        <x:v>3</x:v>
      </x:c>
      <x:c r="F153" s="83"/>
      <x:c r="G153" s="83"/>
      <x:c r="H153" s="83"/>
      <x:c r="I153" s="83"/>
      <x:c r="J153" s="83"/>
      <x:c r="K153" s="83"/>
      <x:c r="L153" s="83"/>
      <x:c r="M153" s="84"/>
      <x:c r="N153" s="86" t="str">
        <x:f>IF(C153="","",IFERROR(F153/E153,0))</x:f>
      </x:c>
      <x:c r="O153" s="107" t="str">
        <x:f>IF(C153="","",IFERROR(G153/F153,0))</x:f>
      </x:c>
    </x:row>
    <x:row r="154">
      <x:c r="A154" s="102" t="n">
        <x:v>8</x:v>
      </x:c>
      <x:c r="B154" s="103" t="n">
        <x:v>9</x:v>
      </x:c>
      <x:c r="C154" s="83"/>
      <x:c r="D154" s="83" t="str">
        <x:f>IFERROR(INDEX('学员台账'!$B$6:$B$25,MATCH(C154,'学员台账'!$A$6:$A$25,0)),"")</x:f>
      </x:c>
      <x:c r="E154" s="83" t="n">
        <x:v>3</x:v>
      </x:c>
      <x:c r="F154" s="83"/>
      <x:c r="G154" s="83"/>
      <x:c r="H154" s="83"/>
      <x:c r="I154" s="83"/>
      <x:c r="J154" s="83"/>
      <x:c r="K154" s="83"/>
      <x:c r="L154" s="83"/>
      <x:c r="M154" s="84"/>
      <x:c r="N154" s="86" t="str">
        <x:f>IF(C154="","",IFERROR(F154/E154,0))</x:f>
      </x:c>
      <x:c r="O154" s="107" t="str">
        <x:f>IF(C154="","",IFERROR(G154/F154,0))</x:f>
      </x:c>
    </x:row>
    <x:row r="155">
      <x:c r="A155" s="102" t="n">
        <x:v>8</x:v>
      </x:c>
      <x:c r="B155" s="103" t="n">
        <x:v>10</x:v>
      </x:c>
      <x:c r="C155" s="83"/>
      <x:c r="D155" s="83" t="str">
        <x:f>IFERROR(INDEX('学员台账'!$B$6:$B$25,MATCH(C155,'学员台账'!$A$6:$A$25,0)),"")</x:f>
      </x:c>
      <x:c r="E155" s="83" t="n">
        <x:v>3</x:v>
      </x:c>
      <x:c r="F155" s="83"/>
      <x:c r="G155" s="83"/>
      <x:c r="H155" s="83"/>
      <x:c r="I155" s="83"/>
      <x:c r="J155" s="83"/>
      <x:c r="K155" s="83"/>
      <x:c r="L155" s="83"/>
      <x:c r="M155" s="84"/>
      <x:c r="N155" s="86" t="str">
        <x:f>IF(C155="","",IFERROR(F155/E155,0))</x:f>
      </x:c>
      <x:c r="O155" s="107" t="str">
        <x:f>IF(C155="","",IFERROR(G155/F155,0))</x:f>
      </x:c>
    </x:row>
    <x:row r="156">
      <x:c r="A156" s="102" t="n">
        <x:v>8</x:v>
      </x:c>
      <x:c r="B156" s="103" t="n">
        <x:v>11</x:v>
      </x:c>
      <x:c r="C156" s="83"/>
      <x:c r="D156" s="83" t="str">
        <x:f>IFERROR(INDEX('学员台账'!$B$6:$B$25,MATCH(C156,'学员台账'!$A$6:$A$25,0)),"")</x:f>
      </x:c>
      <x:c r="E156" s="83" t="n">
        <x:v>3</x:v>
      </x:c>
      <x:c r="F156" s="83"/>
      <x:c r="G156" s="83"/>
      <x:c r="H156" s="83"/>
      <x:c r="I156" s="83"/>
      <x:c r="J156" s="83"/>
      <x:c r="K156" s="83"/>
      <x:c r="L156" s="83"/>
      <x:c r="M156" s="84"/>
      <x:c r="N156" s="86" t="str">
        <x:f>IF(C156="","",IFERROR(F156/E156,0))</x:f>
      </x:c>
      <x:c r="O156" s="107" t="str">
        <x:f>IF(C156="","",IFERROR(G156/F156,0))</x:f>
      </x:c>
    </x:row>
    <x:row r="157">
      <x:c r="A157" s="102" t="n">
        <x:v>8</x:v>
      </x:c>
      <x:c r="B157" s="103" t="n">
        <x:v>12</x:v>
      </x:c>
      <x:c r="C157" s="83"/>
      <x:c r="D157" s="83" t="str">
        <x:f>IFERROR(INDEX('学员台账'!$B$6:$B$25,MATCH(C157,'学员台账'!$A$6:$A$25,0)),"")</x:f>
      </x:c>
      <x:c r="E157" s="83" t="n">
        <x:v>3</x:v>
      </x:c>
      <x:c r="F157" s="83"/>
      <x:c r="G157" s="83"/>
      <x:c r="H157" s="83"/>
      <x:c r="I157" s="83"/>
      <x:c r="J157" s="83"/>
      <x:c r="K157" s="83"/>
      <x:c r="L157" s="83"/>
      <x:c r="M157" s="84"/>
      <x:c r="N157" s="86" t="str">
        <x:f>IF(C157="","",IFERROR(F157/E157,0))</x:f>
      </x:c>
      <x:c r="O157" s="107" t="str">
        <x:f>IF(C157="","",IFERROR(G157/F157,0))</x:f>
      </x:c>
    </x:row>
    <x:row r="158">
      <x:c r="A158" s="102" t="n">
        <x:v>8</x:v>
      </x:c>
      <x:c r="B158" s="103" t="n">
        <x:v>13</x:v>
      </x:c>
      <x:c r="C158" s="83"/>
      <x:c r="D158" s="83" t="str">
        <x:f>IFERROR(INDEX('学员台账'!$B$6:$B$25,MATCH(C158,'学员台账'!$A$6:$A$25,0)),"")</x:f>
      </x:c>
      <x:c r="E158" s="83" t="n">
        <x:v>3</x:v>
      </x:c>
      <x:c r="F158" s="83"/>
      <x:c r="G158" s="83"/>
      <x:c r="H158" s="83"/>
      <x:c r="I158" s="83"/>
      <x:c r="J158" s="83"/>
      <x:c r="K158" s="83"/>
      <x:c r="L158" s="83"/>
      <x:c r="M158" s="84"/>
      <x:c r="N158" s="86" t="str">
        <x:f>IF(C158="","",IFERROR(F158/E158,0))</x:f>
      </x:c>
      <x:c r="O158" s="107" t="str">
        <x:f>IF(C158="","",IFERROR(G158/F158,0))</x:f>
      </x:c>
    </x:row>
    <x:row r="159">
      <x:c r="A159" s="102" t="n">
        <x:v>8</x:v>
      </x:c>
      <x:c r="B159" s="103" t="n">
        <x:v>14</x:v>
      </x:c>
      <x:c r="C159" s="83"/>
      <x:c r="D159" s="83" t="str">
        <x:f>IFERROR(INDEX('学员台账'!$B$6:$B$25,MATCH(C159,'学员台账'!$A$6:$A$25,0)),"")</x:f>
      </x:c>
      <x:c r="E159" s="83" t="n">
        <x:v>3</x:v>
      </x:c>
      <x:c r="F159" s="83"/>
      <x:c r="G159" s="83"/>
      <x:c r="H159" s="83"/>
      <x:c r="I159" s="83"/>
      <x:c r="J159" s="83"/>
      <x:c r="K159" s="83"/>
      <x:c r="L159" s="83"/>
      <x:c r="M159" s="84"/>
      <x:c r="N159" s="86" t="str">
        <x:f>IF(C159="","",IFERROR(F159/E159,0))</x:f>
      </x:c>
      <x:c r="O159" s="107" t="str">
        <x:f>IF(C159="","",IFERROR(G159/F159,0))</x:f>
      </x:c>
    </x:row>
    <x:row r="160">
      <x:c r="A160" s="102" t="n">
        <x:v>8</x:v>
      </x:c>
      <x:c r="B160" s="103" t="n">
        <x:v>15</x:v>
      </x:c>
      <x:c r="C160" s="83"/>
      <x:c r="D160" s="83" t="str">
        <x:f>IFERROR(INDEX('学员台账'!$B$6:$B$25,MATCH(C160,'学员台账'!$A$6:$A$25,0)),"")</x:f>
      </x:c>
      <x:c r="E160" s="83" t="n">
        <x:v>3</x:v>
      </x:c>
      <x:c r="F160" s="83"/>
      <x:c r="G160" s="83"/>
      <x:c r="H160" s="83"/>
      <x:c r="I160" s="83"/>
      <x:c r="J160" s="83"/>
      <x:c r="K160" s="83"/>
      <x:c r="L160" s="83"/>
      <x:c r="M160" s="84"/>
      <x:c r="N160" s="86" t="str">
        <x:f>IF(C160="","",IFERROR(F160/E160,0))</x:f>
      </x:c>
      <x:c r="O160" s="107" t="str">
        <x:f>IF(C160="","",IFERROR(G160/F160,0))</x:f>
      </x:c>
    </x:row>
    <x:row r="161">
      <x:c r="A161" s="102" t="n">
        <x:v>8</x:v>
      </x:c>
      <x:c r="B161" s="103" t="n">
        <x:v>16</x:v>
      </x:c>
      <x:c r="C161" s="83"/>
      <x:c r="D161" s="83" t="str">
        <x:f>IFERROR(INDEX('学员台账'!$B$6:$B$25,MATCH(C161,'学员台账'!$A$6:$A$25,0)),"")</x:f>
      </x:c>
      <x:c r="E161" s="83" t="n">
        <x:v>3</x:v>
      </x:c>
      <x:c r="F161" s="83"/>
      <x:c r="G161" s="83"/>
      <x:c r="H161" s="83"/>
      <x:c r="I161" s="83"/>
      <x:c r="J161" s="83"/>
      <x:c r="K161" s="83"/>
      <x:c r="L161" s="83"/>
      <x:c r="M161" s="84"/>
      <x:c r="N161" s="86" t="str">
        <x:f>IF(C161="","",IFERROR(F161/E161,0))</x:f>
      </x:c>
      <x:c r="O161" s="107" t="str">
        <x:f>IF(C161="","",IFERROR(G161/F161,0))</x:f>
      </x:c>
    </x:row>
    <x:row r="162">
      <x:c r="A162" s="102" t="n">
        <x:v>8</x:v>
      </x:c>
      <x:c r="B162" s="103" t="n">
        <x:v>17</x:v>
      </x:c>
      <x:c r="C162" s="83"/>
      <x:c r="D162" s="83" t="str">
        <x:f>IFERROR(INDEX('学员台账'!$B$6:$B$25,MATCH(C162,'学员台账'!$A$6:$A$25,0)),"")</x:f>
      </x:c>
      <x:c r="E162" s="83" t="n">
        <x:v>3</x:v>
      </x:c>
      <x:c r="F162" s="83"/>
      <x:c r="G162" s="83"/>
      <x:c r="H162" s="83"/>
      <x:c r="I162" s="83"/>
      <x:c r="J162" s="83"/>
      <x:c r="K162" s="83"/>
      <x:c r="L162" s="83"/>
      <x:c r="M162" s="84"/>
      <x:c r="N162" s="86" t="str">
        <x:f>IF(C162="","",IFERROR(F162/E162,0))</x:f>
      </x:c>
      <x:c r="O162" s="107" t="str">
        <x:f>IF(C162="","",IFERROR(G162/F162,0))</x:f>
      </x:c>
    </x:row>
    <x:row r="163">
      <x:c r="A163" s="102" t="n">
        <x:v>8</x:v>
      </x:c>
      <x:c r="B163" s="103" t="n">
        <x:v>18</x:v>
      </x:c>
      <x:c r="C163" s="83"/>
      <x:c r="D163" s="83" t="str">
        <x:f>IFERROR(INDEX('学员台账'!$B$6:$B$25,MATCH(C163,'学员台账'!$A$6:$A$25,0)),"")</x:f>
      </x:c>
      <x:c r="E163" s="83" t="n">
        <x:v>3</x:v>
      </x:c>
      <x:c r="F163" s="83"/>
      <x:c r="G163" s="83"/>
      <x:c r="H163" s="83"/>
      <x:c r="I163" s="83"/>
      <x:c r="J163" s="83"/>
      <x:c r="K163" s="83"/>
      <x:c r="L163" s="83"/>
      <x:c r="M163" s="84"/>
      <x:c r="N163" s="86" t="str">
        <x:f>IF(C163="","",IFERROR(F163/E163,0))</x:f>
      </x:c>
      <x:c r="O163" s="107" t="str">
        <x:f>IF(C163="","",IFERROR(G163/F163,0))</x:f>
      </x:c>
    </x:row>
    <x:row r="164">
      <x:c r="A164" s="102" t="n">
        <x:v>8</x:v>
      </x:c>
      <x:c r="B164" s="103" t="n">
        <x:v>19</x:v>
      </x:c>
      <x:c r="C164" s="83"/>
      <x:c r="D164" s="83" t="str">
        <x:f>IFERROR(INDEX('学员台账'!$B$6:$B$25,MATCH(C164,'学员台账'!$A$6:$A$25,0)),"")</x:f>
      </x:c>
      <x:c r="E164" s="83" t="n">
        <x:v>3</x:v>
      </x:c>
      <x:c r="F164" s="83"/>
      <x:c r="G164" s="83"/>
      <x:c r="H164" s="83"/>
      <x:c r="I164" s="83"/>
      <x:c r="J164" s="83"/>
      <x:c r="K164" s="83"/>
      <x:c r="L164" s="83"/>
      <x:c r="M164" s="84"/>
      <x:c r="N164" s="86" t="str">
        <x:f>IF(C164="","",IFERROR(F164/E164,0))</x:f>
      </x:c>
      <x:c r="O164" s="107" t="str">
        <x:f>IF(C164="","",IFERROR(G164/F164,0))</x:f>
      </x:c>
    </x:row>
    <x:row r="165">
      <x:c r="A165" s="102" t="n">
        <x:v>8</x:v>
      </x:c>
      <x:c r="B165" s="103" t="n">
        <x:v>20</x:v>
      </x:c>
      <x:c r="C165" s="83"/>
      <x:c r="D165" s="83" t="str">
        <x:f>IFERROR(INDEX('学员台账'!$B$6:$B$25,MATCH(C165,'学员台账'!$A$6:$A$25,0)),"")</x:f>
      </x:c>
      <x:c r="E165" s="83" t="n">
        <x:v>3</x:v>
      </x:c>
      <x:c r="F165" s="83"/>
      <x:c r="G165" s="83"/>
      <x:c r="H165" s="83"/>
      <x:c r="I165" s="83"/>
      <x:c r="J165" s="83"/>
      <x:c r="K165" s="83"/>
      <x:c r="L165" s="83"/>
      <x:c r="M165" s="84"/>
      <x:c r="N165" s="86" t="str">
        <x:f>IF(C165="","",IFERROR(F165/E165,0))</x:f>
      </x:c>
      <x:c r="O165" s="107" t="str">
        <x:f>IF(C165="","",IFERROR(G165/F165,0))</x:f>
      </x:c>
    </x:row>
    <x:row r="166">
      <x:c r="A166" s="102" t="n">
        <x:v>9</x:v>
      </x:c>
      <x:c r="B166" s="103" t="n">
        <x:v>1</x:v>
      </x:c>
      <x:c r="C166" s="83"/>
      <x:c r="D166" s="83" t="str">
        <x:f>IFERROR(INDEX('学员台账'!$B$6:$B$25,MATCH(C166,'学员台账'!$A$6:$A$25,0)),"")</x:f>
      </x:c>
      <x:c r="E166" s="83" t="n">
        <x:v>2</x:v>
      </x:c>
      <x:c r="F166" s="83"/>
      <x:c r="G166" s="83"/>
      <x:c r="H166" s="83"/>
      <x:c r="I166" s="83"/>
      <x:c r="J166" s="83"/>
      <x:c r="K166" s="83"/>
      <x:c r="L166" s="83"/>
      <x:c r="M166" s="84"/>
      <x:c r="N166" s="86" t="str">
        <x:f>IF(C166="","",IFERROR(F166/E166,0))</x:f>
      </x:c>
      <x:c r="O166" s="107" t="str">
        <x:f>IF(C166="","",IFERROR(G166/F166,0))</x:f>
      </x:c>
    </x:row>
    <x:row r="167">
      <x:c r="A167" s="102" t="n">
        <x:v>9</x:v>
      </x:c>
      <x:c r="B167" s="103" t="n">
        <x:v>2</x:v>
      </x:c>
      <x:c r="C167" s="83"/>
      <x:c r="D167" s="83" t="str">
        <x:f>IFERROR(INDEX('学员台账'!$B$6:$B$25,MATCH(C167,'学员台账'!$A$6:$A$25,0)),"")</x:f>
      </x:c>
      <x:c r="E167" s="83" t="n">
        <x:v>2</x:v>
      </x:c>
      <x:c r="F167" s="83"/>
      <x:c r="G167" s="83"/>
      <x:c r="H167" s="83"/>
      <x:c r="I167" s="83"/>
      <x:c r="J167" s="83"/>
      <x:c r="K167" s="83"/>
      <x:c r="L167" s="83"/>
      <x:c r="M167" s="84"/>
      <x:c r="N167" s="86" t="str">
        <x:f>IF(C167="","",IFERROR(F167/E167,0))</x:f>
      </x:c>
      <x:c r="O167" s="107" t="str">
        <x:f>IF(C167="","",IFERROR(G167/F167,0))</x:f>
      </x:c>
    </x:row>
    <x:row r="168">
      <x:c r="A168" s="102" t="n">
        <x:v>9</x:v>
      </x:c>
      <x:c r="B168" s="103" t="n">
        <x:v>3</x:v>
      </x:c>
      <x:c r="C168" s="83"/>
      <x:c r="D168" s="83" t="str">
        <x:f>IFERROR(INDEX('学员台账'!$B$6:$B$25,MATCH(C168,'学员台账'!$A$6:$A$25,0)),"")</x:f>
      </x:c>
      <x:c r="E168" s="83" t="n">
        <x:v>2</x:v>
      </x:c>
      <x:c r="F168" s="83"/>
      <x:c r="G168" s="83"/>
      <x:c r="H168" s="83"/>
      <x:c r="I168" s="83"/>
      <x:c r="J168" s="83"/>
      <x:c r="K168" s="83"/>
      <x:c r="L168" s="83"/>
      <x:c r="M168" s="84"/>
      <x:c r="N168" s="86" t="str">
        <x:f>IF(C168="","",IFERROR(F168/E168,0))</x:f>
      </x:c>
      <x:c r="O168" s="107" t="str">
        <x:f>IF(C168="","",IFERROR(G168/F168,0))</x:f>
      </x:c>
    </x:row>
    <x:row r="169">
      <x:c r="A169" s="102" t="n">
        <x:v>9</x:v>
      </x:c>
      <x:c r="B169" s="103" t="n">
        <x:v>4</x:v>
      </x:c>
      <x:c r="C169" s="83"/>
      <x:c r="D169" s="83" t="str">
        <x:f>IFERROR(INDEX('学员台账'!$B$6:$B$25,MATCH(C169,'学员台账'!$A$6:$A$25,0)),"")</x:f>
      </x:c>
      <x:c r="E169" s="83" t="n">
        <x:v>2</x:v>
      </x:c>
      <x:c r="F169" s="83"/>
      <x:c r="G169" s="83"/>
      <x:c r="H169" s="83"/>
      <x:c r="I169" s="83"/>
      <x:c r="J169" s="83"/>
      <x:c r="K169" s="83"/>
      <x:c r="L169" s="83"/>
      <x:c r="M169" s="84"/>
      <x:c r="N169" s="86" t="str">
        <x:f>IF(C169="","",IFERROR(F169/E169,0))</x:f>
      </x:c>
      <x:c r="O169" s="107" t="str">
        <x:f>IF(C169="","",IFERROR(G169/F169,0))</x:f>
      </x:c>
    </x:row>
    <x:row r="170">
      <x:c r="A170" s="102" t="n">
        <x:v>9</x:v>
      </x:c>
      <x:c r="B170" s="103" t="n">
        <x:v>5</x:v>
      </x:c>
      <x:c r="C170" s="83"/>
      <x:c r="D170" s="83" t="str">
        <x:f>IFERROR(INDEX('学员台账'!$B$6:$B$25,MATCH(C170,'学员台账'!$A$6:$A$25,0)),"")</x:f>
      </x:c>
      <x:c r="E170" s="83" t="n">
        <x:v>2</x:v>
      </x:c>
      <x:c r="F170" s="83"/>
      <x:c r="G170" s="83"/>
      <x:c r="H170" s="83"/>
      <x:c r="I170" s="83"/>
      <x:c r="J170" s="83"/>
      <x:c r="K170" s="83"/>
      <x:c r="L170" s="83"/>
      <x:c r="M170" s="84"/>
      <x:c r="N170" s="86" t="str">
        <x:f>IF(C170="","",IFERROR(F170/E170,0))</x:f>
      </x:c>
      <x:c r="O170" s="107" t="str">
        <x:f>IF(C170="","",IFERROR(G170/F170,0))</x:f>
      </x:c>
    </x:row>
    <x:row r="171">
      <x:c r="A171" s="102" t="n">
        <x:v>9</x:v>
      </x:c>
      <x:c r="B171" s="103" t="n">
        <x:v>6</x:v>
      </x:c>
      <x:c r="C171" s="83"/>
      <x:c r="D171" s="83" t="str">
        <x:f>IFERROR(INDEX('学员台账'!$B$6:$B$25,MATCH(C171,'学员台账'!$A$6:$A$25,0)),"")</x:f>
      </x:c>
      <x:c r="E171" s="83" t="n">
        <x:v>2</x:v>
      </x:c>
      <x:c r="F171" s="83"/>
      <x:c r="G171" s="83"/>
      <x:c r="H171" s="83"/>
      <x:c r="I171" s="83"/>
      <x:c r="J171" s="83"/>
      <x:c r="K171" s="83"/>
      <x:c r="L171" s="83"/>
      <x:c r="M171" s="84"/>
      <x:c r="N171" s="86" t="str">
        <x:f>IF(C171="","",IFERROR(F171/E171,0))</x:f>
      </x:c>
      <x:c r="O171" s="107" t="str">
        <x:f>IF(C171="","",IFERROR(G171/F171,0))</x:f>
      </x:c>
    </x:row>
    <x:row r="172">
      <x:c r="A172" s="102" t="n">
        <x:v>9</x:v>
      </x:c>
      <x:c r="B172" s="103" t="n">
        <x:v>7</x:v>
      </x:c>
      <x:c r="C172" s="83"/>
      <x:c r="D172" s="83" t="str">
        <x:f>IFERROR(INDEX('学员台账'!$B$6:$B$25,MATCH(C172,'学员台账'!$A$6:$A$25,0)),"")</x:f>
      </x:c>
      <x:c r="E172" s="83" t="n">
        <x:v>2</x:v>
      </x:c>
      <x:c r="F172" s="83"/>
      <x:c r="G172" s="83"/>
      <x:c r="H172" s="83"/>
      <x:c r="I172" s="83"/>
      <x:c r="J172" s="83"/>
      <x:c r="K172" s="83"/>
      <x:c r="L172" s="83"/>
      <x:c r="M172" s="84"/>
      <x:c r="N172" s="86" t="str">
        <x:f>IF(C172="","",IFERROR(F172/E172,0))</x:f>
      </x:c>
      <x:c r="O172" s="107" t="str">
        <x:f>IF(C172="","",IFERROR(G172/F172,0))</x:f>
      </x:c>
    </x:row>
    <x:row r="173">
      <x:c r="A173" s="102" t="n">
        <x:v>9</x:v>
      </x:c>
      <x:c r="B173" s="103" t="n">
        <x:v>8</x:v>
      </x:c>
      <x:c r="C173" s="83"/>
      <x:c r="D173" s="83" t="str">
        <x:f>IFERROR(INDEX('学员台账'!$B$6:$B$25,MATCH(C173,'学员台账'!$A$6:$A$25,0)),"")</x:f>
      </x:c>
      <x:c r="E173" s="83" t="n">
        <x:v>2</x:v>
      </x:c>
      <x:c r="F173" s="83"/>
      <x:c r="G173" s="83"/>
      <x:c r="H173" s="83"/>
      <x:c r="I173" s="83"/>
      <x:c r="J173" s="83"/>
      <x:c r="K173" s="83"/>
      <x:c r="L173" s="83"/>
      <x:c r="M173" s="84"/>
      <x:c r="N173" s="86" t="str">
        <x:f>IF(C173="","",IFERROR(F173/E173,0))</x:f>
      </x:c>
      <x:c r="O173" s="107" t="str">
        <x:f>IF(C173="","",IFERROR(G173/F173,0))</x:f>
      </x:c>
    </x:row>
    <x:row r="174">
      <x:c r="A174" s="102" t="n">
        <x:v>9</x:v>
      </x:c>
      <x:c r="B174" s="103" t="n">
        <x:v>9</x:v>
      </x:c>
      <x:c r="C174" s="83"/>
      <x:c r="D174" s="83" t="str">
        <x:f>IFERROR(INDEX('学员台账'!$B$6:$B$25,MATCH(C174,'学员台账'!$A$6:$A$25,0)),"")</x:f>
      </x:c>
      <x:c r="E174" s="83" t="n">
        <x:v>2</x:v>
      </x:c>
      <x:c r="F174" s="83"/>
      <x:c r="G174" s="83"/>
      <x:c r="H174" s="83"/>
      <x:c r="I174" s="83"/>
      <x:c r="J174" s="83"/>
      <x:c r="K174" s="83"/>
      <x:c r="L174" s="83"/>
      <x:c r="M174" s="84"/>
      <x:c r="N174" s="86" t="str">
        <x:f>IF(C174="","",IFERROR(F174/E174,0))</x:f>
      </x:c>
      <x:c r="O174" s="107" t="str">
        <x:f>IF(C174="","",IFERROR(G174/F174,0))</x:f>
      </x:c>
    </x:row>
    <x:row r="175">
      <x:c r="A175" s="102" t="n">
        <x:v>9</x:v>
      </x:c>
      <x:c r="B175" s="103" t="n">
        <x:v>10</x:v>
      </x:c>
      <x:c r="C175" s="83"/>
      <x:c r="D175" s="83" t="str">
        <x:f>IFERROR(INDEX('学员台账'!$B$6:$B$25,MATCH(C175,'学员台账'!$A$6:$A$25,0)),"")</x:f>
      </x:c>
      <x:c r="E175" s="83" t="n">
        <x:v>2</x:v>
      </x:c>
      <x:c r="F175" s="83"/>
      <x:c r="G175" s="83"/>
      <x:c r="H175" s="83"/>
      <x:c r="I175" s="83"/>
      <x:c r="J175" s="83"/>
      <x:c r="K175" s="83"/>
      <x:c r="L175" s="83"/>
      <x:c r="M175" s="84"/>
      <x:c r="N175" s="86" t="str">
        <x:f>IF(C175="","",IFERROR(F175/E175,0))</x:f>
      </x:c>
      <x:c r="O175" s="107" t="str">
        <x:f>IF(C175="","",IFERROR(G175/F175,0))</x:f>
      </x:c>
    </x:row>
    <x:row r="176">
      <x:c r="A176" s="102" t="n">
        <x:v>9</x:v>
      </x:c>
      <x:c r="B176" s="103" t="n">
        <x:v>11</x:v>
      </x:c>
      <x:c r="C176" s="83"/>
      <x:c r="D176" s="83" t="str">
        <x:f>IFERROR(INDEX('学员台账'!$B$6:$B$25,MATCH(C176,'学员台账'!$A$6:$A$25,0)),"")</x:f>
      </x:c>
      <x:c r="E176" s="83" t="n">
        <x:v>2</x:v>
      </x:c>
      <x:c r="F176" s="83"/>
      <x:c r="G176" s="83"/>
      <x:c r="H176" s="83"/>
      <x:c r="I176" s="83"/>
      <x:c r="J176" s="83"/>
      <x:c r="K176" s="83"/>
      <x:c r="L176" s="83"/>
      <x:c r="M176" s="84"/>
      <x:c r="N176" s="86" t="str">
        <x:f>IF(C176="","",IFERROR(F176/E176,0))</x:f>
      </x:c>
      <x:c r="O176" s="107" t="str">
        <x:f>IF(C176="","",IFERROR(G176/F176,0))</x:f>
      </x:c>
    </x:row>
    <x:row r="177">
      <x:c r="A177" s="102" t="n">
        <x:v>9</x:v>
      </x:c>
      <x:c r="B177" s="103" t="n">
        <x:v>12</x:v>
      </x:c>
      <x:c r="C177" s="83"/>
      <x:c r="D177" s="83" t="str">
        <x:f>IFERROR(INDEX('学员台账'!$B$6:$B$25,MATCH(C177,'学员台账'!$A$6:$A$25,0)),"")</x:f>
      </x:c>
      <x:c r="E177" s="83" t="n">
        <x:v>2</x:v>
      </x:c>
      <x:c r="F177" s="83"/>
      <x:c r="G177" s="83"/>
      <x:c r="H177" s="83"/>
      <x:c r="I177" s="83"/>
      <x:c r="J177" s="83"/>
      <x:c r="K177" s="83"/>
      <x:c r="L177" s="83"/>
      <x:c r="M177" s="84"/>
      <x:c r="N177" s="86" t="str">
        <x:f>IF(C177="","",IFERROR(F177/E177,0))</x:f>
      </x:c>
      <x:c r="O177" s="107" t="str">
        <x:f>IF(C177="","",IFERROR(G177/F177,0))</x:f>
      </x:c>
    </x:row>
    <x:row r="178">
      <x:c r="A178" s="102" t="n">
        <x:v>9</x:v>
      </x:c>
      <x:c r="B178" s="103" t="n">
        <x:v>13</x:v>
      </x:c>
      <x:c r="C178" s="83"/>
      <x:c r="D178" s="83" t="str">
        <x:f>IFERROR(INDEX('学员台账'!$B$6:$B$25,MATCH(C178,'学员台账'!$A$6:$A$25,0)),"")</x:f>
      </x:c>
      <x:c r="E178" s="83" t="n">
        <x:v>2</x:v>
      </x:c>
      <x:c r="F178" s="83"/>
      <x:c r="G178" s="83"/>
      <x:c r="H178" s="83"/>
      <x:c r="I178" s="83"/>
      <x:c r="J178" s="83"/>
      <x:c r="K178" s="83"/>
      <x:c r="L178" s="83"/>
      <x:c r="M178" s="84"/>
      <x:c r="N178" s="86" t="str">
        <x:f>IF(C178="","",IFERROR(F178/E178,0))</x:f>
      </x:c>
      <x:c r="O178" s="107" t="str">
        <x:f>IF(C178="","",IFERROR(G178/F178,0))</x:f>
      </x:c>
    </x:row>
    <x:row r="179">
      <x:c r="A179" s="102" t="n">
        <x:v>9</x:v>
      </x:c>
      <x:c r="B179" s="103" t="n">
        <x:v>14</x:v>
      </x:c>
      <x:c r="C179" s="83"/>
      <x:c r="D179" s="83" t="str">
        <x:f>IFERROR(INDEX('学员台账'!$B$6:$B$25,MATCH(C179,'学员台账'!$A$6:$A$25,0)),"")</x:f>
      </x:c>
      <x:c r="E179" s="83" t="n">
        <x:v>2</x:v>
      </x:c>
      <x:c r="F179" s="83"/>
      <x:c r="G179" s="83"/>
      <x:c r="H179" s="83"/>
      <x:c r="I179" s="83"/>
      <x:c r="J179" s="83"/>
      <x:c r="K179" s="83"/>
      <x:c r="L179" s="83"/>
      <x:c r="M179" s="84"/>
      <x:c r="N179" s="86" t="str">
        <x:f>IF(C179="","",IFERROR(F179/E179,0))</x:f>
      </x:c>
      <x:c r="O179" s="107" t="str">
        <x:f>IF(C179="","",IFERROR(G179/F179,0))</x:f>
      </x:c>
    </x:row>
    <x:row r="180">
      <x:c r="A180" s="102" t="n">
        <x:v>9</x:v>
      </x:c>
      <x:c r="B180" s="103" t="n">
        <x:v>15</x:v>
      </x:c>
      <x:c r="C180" s="83"/>
      <x:c r="D180" s="83" t="str">
        <x:f>IFERROR(INDEX('学员台账'!$B$6:$B$25,MATCH(C180,'学员台账'!$A$6:$A$25,0)),"")</x:f>
      </x:c>
      <x:c r="E180" s="83" t="n">
        <x:v>2</x:v>
      </x:c>
      <x:c r="F180" s="83"/>
      <x:c r="G180" s="83"/>
      <x:c r="H180" s="83"/>
      <x:c r="I180" s="83"/>
      <x:c r="J180" s="83"/>
      <x:c r="K180" s="83"/>
      <x:c r="L180" s="83"/>
      <x:c r="M180" s="84"/>
      <x:c r="N180" s="86" t="str">
        <x:f>IF(C180="","",IFERROR(F180/E180,0))</x:f>
      </x:c>
      <x:c r="O180" s="107" t="str">
        <x:f>IF(C180="","",IFERROR(G180/F180,0))</x:f>
      </x:c>
    </x:row>
    <x:row r="181">
      <x:c r="A181" s="102" t="n">
        <x:v>9</x:v>
      </x:c>
      <x:c r="B181" s="103" t="n">
        <x:v>16</x:v>
      </x:c>
      <x:c r="C181" s="83"/>
      <x:c r="D181" s="83" t="str">
        <x:f>IFERROR(INDEX('学员台账'!$B$6:$B$25,MATCH(C181,'学员台账'!$A$6:$A$25,0)),"")</x:f>
      </x:c>
      <x:c r="E181" s="83" t="n">
        <x:v>2</x:v>
      </x:c>
      <x:c r="F181" s="83"/>
      <x:c r="G181" s="83"/>
      <x:c r="H181" s="83"/>
      <x:c r="I181" s="83"/>
      <x:c r="J181" s="83"/>
      <x:c r="K181" s="83"/>
      <x:c r="L181" s="83"/>
      <x:c r="M181" s="84"/>
      <x:c r="N181" s="86" t="str">
        <x:f>IF(C181="","",IFERROR(F181/E181,0))</x:f>
      </x:c>
      <x:c r="O181" s="107" t="str">
        <x:f>IF(C181="","",IFERROR(G181/F181,0))</x:f>
      </x:c>
    </x:row>
    <x:row r="182">
      <x:c r="A182" s="102" t="n">
        <x:v>9</x:v>
      </x:c>
      <x:c r="B182" s="103" t="n">
        <x:v>17</x:v>
      </x:c>
      <x:c r="C182" s="83"/>
      <x:c r="D182" s="83" t="str">
        <x:f>IFERROR(INDEX('学员台账'!$B$6:$B$25,MATCH(C182,'学员台账'!$A$6:$A$25,0)),"")</x:f>
      </x:c>
      <x:c r="E182" s="83" t="n">
        <x:v>2</x:v>
      </x:c>
      <x:c r="F182" s="83"/>
      <x:c r="G182" s="83"/>
      <x:c r="H182" s="83"/>
      <x:c r="I182" s="83"/>
      <x:c r="J182" s="83"/>
      <x:c r="K182" s="83"/>
      <x:c r="L182" s="83"/>
      <x:c r="M182" s="84"/>
      <x:c r="N182" s="86" t="str">
        <x:f>IF(C182="","",IFERROR(F182/E182,0))</x:f>
      </x:c>
      <x:c r="O182" s="107" t="str">
        <x:f>IF(C182="","",IFERROR(G182/F182,0))</x:f>
      </x:c>
    </x:row>
    <x:row r="183">
      <x:c r="A183" s="102" t="n">
        <x:v>9</x:v>
      </x:c>
      <x:c r="B183" s="103" t="n">
        <x:v>18</x:v>
      </x:c>
      <x:c r="C183" s="83"/>
      <x:c r="D183" s="83" t="str">
        <x:f>IFERROR(INDEX('学员台账'!$B$6:$B$25,MATCH(C183,'学员台账'!$A$6:$A$25,0)),"")</x:f>
      </x:c>
      <x:c r="E183" s="83" t="n">
        <x:v>2</x:v>
      </x:c>
      <x:c r="F183" s="83"/>
      <x:c r="G183" s="83"/>
      <x:c r="H183" s="83"/>
      <x:c r="I183" s="83"/>
      <x:c r="J183" s="83"/>
      <x:c r="K183" s="83"/>
      <x:c r="L183" s="83"/>
      <x:c r="M183" s="84"/>
      <x:c r="N183" s="86" t="str">
        <x:f>IF(C183="","",IFERROR(F183/E183,0))</x:f>
      </x:c>
      <x:c r="O183" s="107" t="str">
        <x:f>IF(C183="","",IFERROR(G183/F183,0))</x:f>
      </x:c>
    </x:row>
    <x:row r="184">
      <x:c r="A184" s="102" t="n">
        <x:v>9</x:v>
      </x:c>
      <x:c r="B184" s="103" t="n">
        <x:v>19</x:v>
      </x:c>
      <x:c r="C184" s="83"/>
      <x:c r="D184" s="83" t="str">
        <x:f>IFERROR(INDEX('学员台账'!$B$6:$B$25,MATCH(C184,'学员台账'!$A$6:$A$25,0)),"")</x:f>
      </x:c>
      <x:c r="E184" s="83" t="n">
        <x:v>2</x:v>
      </x:c>
      <x:c r="F184" s="83"/>
      <x:c r="G184" s="83"/>
      <x:c r="H184" s="83"/>
      <x:c r="I184" s="83"/>
      <x:c r="J184" s="83"/>
      <x:c r="K184" s="83"/>
      <x:c r="L184" s="83"/>
      <x:c r="M184" s="84"/>
      <x:c r="N184" s="86" t="str">
        <x:f>IF(C184="","",IFERROR(F184/E184,0))</x:f>
      </x:c>
      <x:c r="O184" s="107" t="str">
        <x:f>IF(C184="","",IFERROR(G184/F184,0))</x:f>
      </x:c>
    </x:row>
    <x:row r="185">
      <x:c r="A185" s="102" t="n">
        <x:v>9</x:v>
      </x:c>
      <x:c r="B185" s="103" t="n">
        <x:v>20</x:v>
      </x:c>
      <x:c r="C185" s="83"/>
      <x:c r="D185" s="83" t="str">
        <x:f>IFERROR(INDEX('学员台账'!$B$6:$B$25,MATCH(C185,'学员台账'!$A$6:$A$25,0)),"")</x:f>
      </x:c>
      <x:c r="E185" s="83" t="n">
        <x:v>2</x:v>
      </x:c>
      <x:c r="F185" s="83"/>
      <x:c r="G185" s="83"/>
      <x:c r="H185" s="83"/>
      <x:c r="I185" s="83"/>
      <x:c r="J185" s="83"/>
      <x:c r="K185" s="83"/>
      <x:c r="L185" s="83"/>
      <x:c r="M185" s="84"/>
      <x:c r="N185" s="86" t="str">
        <x:f>IF(C185="","",IFERROR(F185/E185,0))</x:f>
      </x:c>
      <x:c r="O185" s="107" t="str">
        <x:f>IF(C185="","",IFERROR(G185/F185,0))</x:f>
      </x:c>
    </x:row>
    <x:row r="186">
      <x:c r="A186" s="102" t="n">
        <x:v>10</x:v>
      </x:c>
      <x:c r="B186" s="103" t="n">
        <x:v>1</x:v>
      </x:c>
      <x:c r="C186" s="83"/>
      <x:c r="D186" s="83" t="str">
        <x:f>IFERROR(INDEX('学员台账'!$B$6:$B$25,MATCH(C186,'学员台账'!$A$6:$A$25,0)),"")</x:f>
      </x:c>
      <x:c r="E186" s="83" t="n">
        <x:v>2</x:v>
      </x:c>
      <x:c r="F186" s="83"/>
      <x:c r="G186" s="83"/>
      <x:c r="H186" s="83"/>
      <x:c r="I186" s="83"/>
      <x:c r="J186" s="83"/>
      <x:c r="K186" s="83"/>
      <x:c r="L186" s="83"/>
      <x:c r="M186" s="84"/>
      <x:c r="N186" s="86" t="str">
        <x:f>IF(C186="","",IFERROR(F186/E186,0))</x:f>
      </x:c>
      <x:c r="O186" s="107" t="str">
        <x:f>IF(C186="","",IFERROR(G186/F186,0))</x:f>
      </x:c>
    </x:row>
    <x:row r="187">
      <x:c r="A187" s="102" t="n">
        <x:v>10</x:v>
      </x:c>
      <x:c r="B187" s="103" t="n">
        <x:v>2</x:v>
      </x:c>
      <x:c r="C187" s="83"/>
      <x:c r="D187" s="83" t="str">
        <x:f>IFERROR(INDEX('学员台账'!$B$6:$B$25,MATCH(C187,'学员台账'!$A$6:$A$25,0)),"")</x:f>
      </x:c>
      <x:c r="E187" s="83" t="n">
        <x:v>2</x:v>
      </x:c>
      <x:c r="F187" s="83"/>
      <x:c r="G187" s="83"/>
      <x:c r="H187" s="83"/>
      <x:c r="I187" s="83"/>
      <x:c r="J187" s="83"/>
      <x:c r="K187" s="83"/>
      <x:c r="L187" s="83"/>
      <x:c r="M187" s="84"/>
      <x:c r="N187" s="86" t="str">
        <x:f>IF(C187="","",IFERROR(F187/E187,0))</x:f>
      </x:c>
      <x:c r="O187" s="107" t="str">
        <x:f>IF(C187="","",IFERROR(G187/F187,0))</x:f>
      </x:c>
    </x:row>
    <x:row r="188">
      <x:c r="A188" s="102" t="n">
        <x:v>10</x:v>
      </x:c>
      <x:c r="B188" s="103" t="n">
        <x:v>3</x:v>
      </x:c>
      <x:c r="C188" s="83"/>
      <x:c r="D188" s="83" t="str">
        <x:f>IFERROR(INDEX('学员台账'!$B$6:$B$25,MATCH(C188,'学员台账'!$A$6:$A$25,0)),"")</x:f>
      </x:c>
      <x:c r="E188" s="83" t="n">
        <x:v>2</x:v>
      </x:c>
      <x:c r="F188" s="83"/>
      <x:c r="G188" s="83"/>
      <x:c r="H188" s="83"/>
      <x:c r="I188" s="83"/>
      <x:c r="J188" s="83"/>
      <x:c r="K188" s="83"/>
      <x:c r="L188" s="83"/>
      <x:c r="M188" s="84"/>
      <x:c r="N188" s="86" t="str">
        <x:f>IF(C188="","",IFERROR(F188/E188,0))</x:f>
      </x:c>
      <x:c r="O188" s="107" t="str">
        <x:f>IF(C188="","",IFERROR(G188/F188,0))</x:f>
      </x:c>
    </x:row>
    <x:row r="189">
      <x:c r="A189" s="102" t="n">
        <x:v>10</x:v>
      </x:c>
      <x:c r="B189" s="103" t="n">
        <x:v>4</x:v>
      </x:c>
      <x:c r="C189" s="83"/>
      <x:c r="D189" s="83" t="str">
        <x:f>IFERROR(INDEX('学员台账'!$B$6:$B$25,MATCH(C189,'学员台账'!$A$6:$A$25,0)),"")</x:f>
      </x:c>
      <x:c r="E189" s="83" t="n">
        <x:v>2</x:v>
      </x:c>
      <x:c r="F189" s="83"/>
      <x:c r="G189" s="83"/>
      <x:c r="H189" s="83"/>
      <x:c r="I189" s="83"/>
      <x:c r="J189" s="83"/>
      <x:c r="K189" s="83"/>
      <x:c r="L189" s="83"/>
      <x:c r="M189" s="84"/>
      <x:c r="N189" s="86" t="str">
        <x:f>IF(C189="","",IFERROR(F189/E189,0))</x:f>
      </x:c>
      <x:c r="O189" s="107" t="str">
        <x:f>IF(C189="","",IFERROR(G189/F189,0))</x:f>
      </x:c>
    </x:row>
    <x:row r="190">
      <x:c r="A190" s="102" t="n">
        <x:v>10</x:v>
      </x:c>
      <x:c r="B190" s="103" t="n">
        <x:v>5</x:v>
      </x:c>
      <x:c r="C190" s="83"/>
      <x:c r="D190" s="83" t="str">
        <x:f>IFERROR(INDEX('学员台账'!$B$6:$B$25,MATCH(C190,'学员台账'!$A$6:$A$25,0)),"")</x:f>
      </x:c>
      <x:c r="E190" s="83" t="n">
        <x:v>2</x:v>
      </x:c>
      <x:c r="F190" s="83"/>
      <x:c r="G190" s="83"/>
      <x:c r="H190" s="83"/>
      <x:c r="I190" s="83"/>
      <x:c r="J190" s="83"/>
      <x:c r="K190" s="83"/>
      <x:c r="L190" s="83"/>
      <x:c r="M190" s="84"/>
      <x:c r="N190" s="86" t="str">
        <x:f>IF(C190="","",IFERROR(F190/E190,0))</x:f>
      </x:c>
      <x:c r="O190" s="107" t="str">
        <x:f>IF(C190="","",IFERROR(G190/F190,0))</x:f>
      </x:c>
    </x:row>
    <x:row r="191">
      <x:c r="A191" s="102" t="n">
        <x:v>10</x:v>
      </x:c>
      <x:c r="B191" s="103" t="n">
        <x:v>6</x:v>
      </x:c>
      <x:c r="C191" s="83"/>
      <x:c r="D191" s="83" t="str">
        <x:f>IFERROR(INDEX('学员台账'!$B$6:$B$25,MATCH(C191,'学员台账'!$A$6:$A$25,0)),"")</x:f>
      </x:c>
      <x:c r="E191" s="83" t="n">
        <x:v>2</x:v>
      </x:c>
      <x:c r="F191" s="83"/>
      <x:c r="G191" s="83"/>
      <x:c r="H191" s="83"/>
      <x:c r="I191" s="83"/>
      <x:c r="J191" s="83"/>
      <x:c r="K191" s="83"/>
      <x:c r="L191" s="83"/>
      <x:c r="M191" s="84"/>
      <x:c r="N191" s="86" t="str">
        <x:f>IF(C191="","",IFERROR(F191/E191,0))</x:f>
      </x:c>
      <x:c r="O191" s="107" t="str">
        <x:f>IF(C191="","",IFERROR(G191/F191,0))</x:f>
      </x:c>
    </x:row>
    <x:row r="192">
      <x:c r="A192" s="102" t="n">
        <x:v>10</x:v>
      </x:c>
      <x:c r="B192" s="103" t="n">
        <x:v>7</x:v>
      </x:c>
      <x:c r="C192" s="83"/>
      <x:c r="D192" s="83" t="str">
        <x:f>IFERROR(INDEX('学员台账'!$B$6:$B$25,MATCH(C192,'学员台账'!$A$6:$A$25,0)),"")</x:f>
      </x:c>
      <x:c r="E192" s="83" t="n">
        <x:v>2</x:v>
      </x:c>
      <x:c r="F192" s="83"/>
      <x:c r="G192" s="83"/>
      <x:c r="H192" s="83"/>
      <x:c r="I192" s="83"/>
      <x:c r="J192" s="83"/>
      <x:c r="K192" s="83"/>
      <x:c r="L192" s="83"/>
      <x:c r="M192" s="84"/>
      <x:c r="N192" s="86" t="str">
        <x:f>IF(C192="","",IFERROR(F192/E192,0))</x:f>
      </x:c>
      <x:c r="O192" s="107" t="str">
        <x:f>IF(C192="","",IFERROR(G192/F192,0))</x:f>
      </x:c>
    </x:row>
    <x:row r="193">
      <x:c r="A193" s="102" t="n">
        <x:v>10</x:v>
      </x:c>
      <x:c r="B193" s="103" t="n">
        <x:v>8</x:v>
      </x:c>
      <x:c r="C193" s="83"/>
      <x:c r="D193" s="83" t="str">
        <x:f>IFERROR(INDEX('学员台账'!$B$6:$B$25,MATCH(C193,'学员台账'!$A$6:$A$25,0)),"")</x:f>
      </x:c>
      <x:c r="E193" s="83" t="n">
        <x:v>2</x:v>
      </x:c>
      <x:c r="F193" s="83"/>
      <x:c r="G193" s="83"/>
      <x:c r="H193" s="83"/>
      <x:c r="I193" s="83"/>
      <x:c r="J193" s="83"/>
      <x:c r="K193" s="83"/>
      <x:c r="L193" s="83"/>
      <x:c r="M193" s="84"/>
      <x:c r="N193" s="86" t="str">
        <x:f>IF(C193="","",IFERROR(F193/E193,0))</x:f>
      </x:c>
      <x:c r="O193" s="107" t="str">
        <x:f>IF(C193="","",IFERROR(G193/F193,0))</x:f>
      </x:c>
    </x:row>
    <x:row r="194">
      <x:c r="A194" s="102" t="n">
        <x:v>10</x:v>
      </x:c>
      <x:c r="B194" s="103" t="n">
        <x:v>9</x:v>
      </x:c>
      <x:c r="C194" s="83"/>
      <x:c r="D194" s="83" t="str">
        <x:f>IFERROR(INDEX('学员台账'!$B$6:$B$25,MATCH(C194,'学员台账'!$A$6:$A$25,0)),"")</x:f>
      </x:c>
      <x:c r="E194" s="83" t="n">
        <x:v>2</x:v>
      </x:c>
      <x:c r="F194" s="83"/>
      <x:c r="G194" s="83"/>
      <x:c r="H194" s="83"/>
      <x:c r="I194" s="83"/>
      <x:c r="J194" s="83"/>
      <x:c r="K194" s="83"/>
      <x:c r="L194" s="83"/>
      <x:c r="M194" s="84"/>
      <x:c r="N194" s="86" t="str">
        <x:f>IF(C194="","",IFERROR(F194/E194,0))</x:f>
      </x:c>
      <x:c r="O194" s="107" t="str">
        <x:f>IF(C194="","",IFERROR(G194/F194,0))</x:f>
      </x:c>
    </x:row>
    <x:row r="195">
      <x:c r="A195" s="102" t="n">
        <x:v>10</x:v>
      </x:c>
      <x:c r="B195" s="103" t="n">
        <x:v>10</x:v>
      </x:c>
      <x:c r="C195" s="83"/>
      <x:c r="D195" s="83" t="str">
        <x:f>IFERROR(INDEX('学员台账'!$B$6:$B$25,MATCH(C195,'学员台账'!$A$6:$A$25,0)),"")</x:f>
      </x:c>
      <x:c r="E195" s="83" t="n">
        <x:v>2</x:v>
      </x:c>
      <x:c r="F195" s="83"/>
      <x:c r="G195" s="83"/>
      <x:c r="H195" s="83"/>
      <x:c r="I195" s="83"/>
      <x:c r="J195" s="83"/>
      <x:c r="K195" s="83"/>
      <x:c r="L195" s="83"/>
      <x:c r="M195" s="84"/>
      <x:c r="N195" s="86" t="str">
        <x:f>IF(C195="","",IFERROR(F195/E195,0))</x:f>
      </x:c>
      <x:c r="O195" s="107" t="str">
        <x:f>IF(C195="","",IFERROR(G195/F195,0))</x:f>
      </x:c>
    </x:row>
    <x:row r="196">
      <x:c r="A196" s="102" t="n">
        <x:v>10</x:v>
      </x:c>
      <x:c r="B196" s="103" t="n">
        <x:v>11</x:v>
      </x:c>
      <x:c r="C196" s="83"/>
      <x:c r="D196" s="83" t="str">
        <x:f>IFERROR(INDEX('学员台账'!$B$6:$B$25,MATCH(C196,'学员台账'!$A$6:$A$25,0)),"")</x:f>
      </x:c>
      <x:c r="E196" s="83" t="n">
        <x:v>2</x:v>
      </x:c>
      <x:c r="F196" s="83"/>
      <x:c r="G196" s="83"/>
      <x:c r="H196" s="83"/>
      <x:c r="I196" s="83"/>
      <x:c r="J196" s="83"/>
      <x:c r="K196" s="83"/>
      <x:c r="L196" s="83"/>
      <x:c r="M196" s="84"/>
      <x:c r="N196" s="86" t="str">
        <x:f>IF(C196="","",IFERROR(F196/E196,0))</x:f>
      </x:c>
      <x:c r="O196" s="107" t="str">
        <x:f>IF(C196="","",IFERROR(G196/F196,0))</x:f>
      </x:c>
    </x:row>
    <x:row r="197">
      <x:c r="A197" s="102" t="n">
        <x:v>10</x:v>
      </x:c>
      <x:c r="B197" s="103" t="n">
        <x:v>12</x:v>
      </x:c>
      <x:c r="C197" s="83"/>
      <x:c r="D197" s="83" t="str">
        <x:f>IFERROR(INDEX('学员台账'!$B$6:$B$25,MATCH(C197,'学员台账'!$A$6:$A$25,0)),"")</x:f>
      </x:c>
      <x:c r="E197" s="83" t="n">
        <x:v>2</x:v>
      </x:c>
      <x:c r="F197" s="83"/>
      <x:c r="G197" s="83"/>
      <x:c r="H197" s="83"/>
      <x:c r="I197" s="83"/>
      <x:c r="J197" s="83"/>
      <x:c r="K197" s="83"/>
      <x:c r="L197" s="83"/>
      <x:c r="M197" s="84"/>
      <x:c r="N197" s="86" t="str">
        <x:f>IF(C197="","",IFERROR(F197/E197,0))</x:f>
      </x:c>
      <x:c r="O197" s="107" t="str">
        <x:f>IF(C197="","",IFERROR(G197/F197,0))</x:f>
      </x:c>
    </x:row>
    <x:row r="198">
      <x:c r="A198" s="102" t="n">
        <x:v>10</x:v>
      </x:c>
      <x:c r="B198" s="103" t="n">
        <x:v>13</x:v>
      </x:c>
      <x:c r="C198" s="83"/>
      <x:c r="D198" s="83" t="str">
        <x:f>IFERROR(INDEX('学员台账'!$B$6:$B$25,MATCH(C198,'学员台账'!$A$6:$A$25,0)),"")</x:f>
      </x:c>
      <x:c r="E198" s="83" t="n">
        <x:v>2</x:v>
      </x:c>
      <x:c r="F198" s="83"/>
      <x:c r="G198" s="83"/>
      <x:c r="H198" s="83"/>
      <x:c r="I198" s="83"/>
      <x:c r="J198" s="83"/>
      <x:c r="K198" s="83"/>
      <x:c r="L198" s="83"/>
      <x:c r="M198" s="84"/>
      <x:c r="N198" s="86" t="str">
        <x:f>IF(C198="","",IFERROR(F198/E198,0))</x:f>
      </x:c>
      <x:c r="O198" s="107" t="str">
        <x:f>IF(C198="","",IFERROR(G198/F198,0))</x:f>
      </x:c>
    </x:row>
    <x:row r="199">
      <x:c r="A199" s="102" t="n">
        <x:v>10</x:v>
      </x:c>
      <x:c r="B199" s="103" t="n">
        <x:v>14</x:v>
      </x:c>
      <x:c r="C199" s="83"/>
      <x:c r="D199" s="83" t="str">
        <x:f>IFERROR(INDEX('学员台账'!$B$6:$B$25,MATCH(C199,'学员台账'!$A$6:$A$25,0)),"")</x:f>
      </x:c>
      <x:c r="E199" s="83" t="n">
        <x:v>2</x:v>
      </x:c>
      <x:c r="F199" s="83"/>
      <x:c r="G199" s="83"/>
      <x:c r="H199" s="83"/>
      <x:c r="I199" s="83"/>
      <x:c r="J199" s="83"/>
      <x:c r="K199" s="83"/>
      <x:c r="L199" s="83"/>
      <x:c r="M199" s="84"/>
      <x:c r="N199" s="86" t="str">
        <x:f>IF(C199="","",IFERROR(F199/E199,0))</x:f>
      </x:c>
      <x:c r="O199" s="107" t="str">
        <x:f>IF(C199="","",IFERROR(G199/F199,0))</x:f>
      </x:c>
    </x:row>
    <x:row r="200">
      <x:c r="A200" s="102" t="n">
        <x:v>10</x:v>
      </x:c>
      <x:c r="B200" s="103" t="n">
        <x:v>15</x:v>
      </x:c>
      <x:c r="C200" s="83"/>
      <x:c r="D200" s="83" t="str">
        <x:f>IFERROR(INDEX('学员台账'!$B$6:$B$25,MATCH(C200,'学员台账'!$A$6:$A$25,0)),"")</x:f>
      </x:c>
      <x:c r="E200" s="83" t="n">
        <x:v>2</x:v>
      </x:c>
      <x:c r="F200" s="83"/>
      <x:c r="G200" s="83"/>
      <x:c r="H200" s="83"/>
      <x:c r="I200" s="83"/>
      <x:c r="J200" s="83"/>
      <x:c r="K200" s="83"/>
      <x:c r="L200" s="83"/>
      <x:c r="M200" s="84"/>
      <x:c r="N200" s="86" t="str">
        <x:f>IF(C200="","",IFERROR(F200/E200,0))</x:f>
      </x:c>
      <x:c r="O200" s="107" t="str">
        <x:f>IF(C200="","",IFERROR(G200/F200,0))</x:f>
      </x:c>
    </x:row>
    <x:row r="201">
      <x:c r="A201" s="102" t="n">
        <x:v>10</x:v>
      </x:c>
      <x:c r="B201" s="103" t="n">
        <x:v>16</x:v>
      </x:c>
      <x:c r="C201" s="83"/>
      <x:c r="D201" s="83" t="str">
        <x:f>IFERROR(INDEX('学员台账'!$B$6:$B$25,MATCH(C201,'学员台账'!$A$6:$A$25,0)),"")</x:f>
      </x:c>
      <x:c r="E201" s="83" t="n">
        <x:v>2</x:v>
      </x:c>
      <x:c r="F201" s="83"/>
      <x:c r="G201" s="83"/>
      <x:c r="H201" s="83"/>
      <x:c r="I201" s="83"/>
      <x:c r="J201" s="83"/>
      <x:c r="K201" s="83"/>
      <x:c r="L201" s="83"/>
      <x:c r="M201" s="84"/>
      <x:c r="N201" s="86" t="str">
        <x:f>IF(C201="","",IFERROR(F201/E201,0))</x:f>
      </x:c>
      <x:c r="O201" s="107" t="str">
        <x:f>IF(C201="","",IFERROR(G201/F201,0))</x:f>
      </x:c>
    </x:row>
    <x:row r="202">
      <x:c r="A202" s="102" t="n">
        <x:v>10</x:v>
      </x:c>
      <x:c r="B202" s="103" t="n">
        <x:v>17</x:v>
      </x:c>
      <x:c r="C202" s="83"/>
      <x:c r="D202" s="83" t="str">
        <x:f>IFERROR(INDEX('学员台账'!$B$6:$B$25,MATCH(C202,'学员台账'!$A$6:$A$25,0)),"")</x:f>
      </x:c>
      <x:c r="E202" s="83" t="n">
        <x:v>2</x:v>
      </x:c>
      <x:c r="F202" s="83"/>
      <x:c r="G202" s="83"/>
      <x:c r="H202" s="83"/>
      <x:c r="I202" s="83"/>
      <x:c r="J202" s="83"/>
      <x:c r="K202" s="83"/>
      <x:c r="L202" s="83"/>
      <x:c r="M202" s="84"/>
      <x:c r="N202" s="86" t="str">
        <x:f>IF(C202="","",IFERROR(F202/E202,0))</x:f>
      </x:c>
      <x:c r="O202" s="107" t="str">
        <x:f>IF(C202="","",IFERROR(G202/F202,0))</x:f>
      </x:c>
    </x:row>
    <x:row r="203">
      <x:c r="A203" s="102" t="n">
        <x:v>10</x:v>
      </x:c>
      <x:c r="B203" s="103" t="n">
        <x:v>18</x:v>
      </x:c>
      <x:c r="C203" s="83"/>
      <x:c r="D203" s="83" t="str">
        <x:f>IFERROR(INDEX('学员台账'!$B$6:$B$25,MATCH(C203,'学员台账'!$A$6:$A$25,0)),"")</x:f>
      </x:c>
      <x:c r="E203" s="83" t="n">
        <x:v>2</x:v>
      </x:c>
      <x:c r="F203" s="83"/>
      <x:c r="G203" s="83"/>
      <x:c r="H203" s="83"/>
      <x:c r="I203" s="83"/>
      <x:c r="J203" s="83"/>
      <x:c r="K203" s="83"/>
      <x:c r="L203" s="83"/>
      <x:c r="M203" s="84"/>
      <x:c r="N203" s="86" t="str">
        <x:f>IF(C203="","",IFERROR(F203/E203,0))</x:f>
      </x:c>
      <x:c r="O203" s="107" t="str">
        <x:f>IF(C203="","",IFERROR(G203/F203,0))</x:f>
      </x:c>
    </x:row>
    <x:row r="204">
      <x:c r="A204" s="102" t="n">
        <x:v>10</x:v>
      </x:c>
      <x:c r="B204" s="103" t="n">
        <x:v>19</x:v>
      </x:c>
      <x:c r="C204" s="83"/>
      <x:c r="D204" s="83" t="str">
        <x:f>IFERROR(INDEX('学员台账'!$B$6:$B$25,MATCH(C204,'学员台账'!$A$6:$A$25,0)),"")</x:f>
      </x:c>
      <x:c r="E204" s="83" t="n">
        <x:v>2</x:v>
      </x:c>
      <x:c r="F204" s="83"/>
      <x:c r="G204" s="83"/>
      <x:c r="H204" s="83"/>
      <x:c r="I204" s="83"/>
      <x:c r="J204" s="83"/>
      <x:c r="K204" s="83"/>
      <x:c r="L204" s="83"/>
      <x:c r="M204" s="84"/>
      <x:c r="N204" s="86" t="str">
        <x:f>IF(C204="","",IFERROR(F204/E204,0))</x:f>
      </x:c>
      <x:c r="O204" s="107" t="str">
        <x:f>IF(C204="","",IFERROR(G204/F204,0))</x:f>
      </x:c>
    </x:row>
    <x:row r="205">
      <x:c r="A205" s="102" t="n">
        <x:v>10</x:v>
      </x:c>
      <x:c r="B205" s="103" t="n">
        <x:v>20</x:v>
      </x:c>
      <x:c r="C205" s="83"/>
      <x:c r="D205" s="83" t="str">
        <x:f>IFERROR(INDEX('学员台账'!$B$6:$B$25,MATCH(C205,'学员台账'!$A$6:$A$25,0)),"")</x:f>
      </x:c>
      <x:c r="E205" s="83" t="n">
        <x:v>2</x:v>
      </x:c>
      <x:c r="F205" s="83"/>
      <x:c r="G205" s="83"/>
      <x:c r="H205" s="83"/>
      <x:c r="I205" s="83"/>
      <x:c r="J205" s="83"/>
      <x:c r="K205" s="83"/>
      <x:c r="L205" s="83"/>
      <x:c r="M205" s="84"/>
      <x:c r="N205" s="86" t="str">
        <x:f>IF(C205="","",IFERROR(F205/E205,0))</x:f>
      </x:c>
      <x:c r="O205" s="107" t="str">
        <x:f>IF(C205="","",IFERROR(G205/F205,0))</x:f>
      </x:c>
    </x:row>
    <x:row r="206">
      <x:c r="A206" s="102" t="n">
        <x:v>11</x:v>
      </x:c>
      <x:c r="B206" s="103" t="n">
        <x:v>1</x:v>
      </x:c>
      <x:c r="C206" s="83"/>
      <x:c r="D206" s="83" t="str">
        <x:f>IFERROR(INDEX('学员台账'!$B$6:$B$25,MATCH(C206,'学员台账'!$A$6:$A$25,0)),"")</x:f>
      </x:c>
      <x:c r="E206" s="83" t="n">
        <x:v>2</x:v>
      </x:c>
      <x:c r="F206" s="83"/>
      <x:c r="G206" s="83"/>
      <x:c r="H206" s="83"/>
      <x:c r="I206" s="83"/>
      <x:c r="J206" s="83"/>
      <x:c r="K206" s="83"/>
      <x:c r="L206" s="83"/>
      <x:c r="M206" s="84"/>
      <x:c r="N206" s="86" t="str">
        <x:f>IF(C206="","",IFERROR(F206/E206,0))</x:f>
      </x:c>
      <x:c r="O206" s="107" t="str">
        <x:f>IF(C206="","",IFERROR(G206/F206,0))</x:f>
      </x:c>
    </x:row>
    <x:row r="207">
      <x:c r="A207" s="102" t="n">
        <x:v>11</x:v>
      </x:c>
      <x:c r="B207" s="103" t="n">
        <x:v>2</x:v>
      </x:c>
      <x:c r="C207" s="83"/>
      <x:c r="D207" s="83" t="str">
        <x:f>IFERROR(INDEX('学员台账'!$B$6:$B$25,MATCH(C207,'学员台账'!$A$6:$A$25,0)),"")</x:f>
      </x:c>
      <x:c r="E207" s="83" t="n">
        <x:v>2</x:v>
      </x:c>
      <x:c r="F207" s="83"/>
      <x:c r="G207" s="83"/>
      <x:c r="H207" s="83"/>
      <x:c r="I207" s="83"/>
      <x:c r="J207" s="83"/>
      <x:c r="K207" s="83"/>
      <x:c r="L207" s="83"/>
      <x:c r="M207" s="84"/>
      <x:c r="N207" s="86" t="str">
        <x:f>IF(C207="","",IFERROR(F207/E207,0))</x:f>
      </x:c>
      <x:c r="O207" s="107" t="str">
        <x:f>IF(C207="","",IFERROR(G207/F207,0))</x:f>
      </x:c>
    </x:row>
    <x:row r="208">
      <x:c r="A208" s="102" t="n">
        <x:v>11</x:v>
      </x:c>
      <x:c r="B208" s="103" t="n">
        <x:v>3</x:v>
      </x:c>
      <x:c r="C208" s="83"/>
      <x:c r="D208" s="83" t="str">
        <x:f>IFERROR(INDEX('学员台账'!$B$6:$B$25,MATCH(C208,'学员台账'!$A$6:$A$25,0)),"")</x:f>
      </x:c>
      <x:c r="E208" s="83" t="n">
        <x:v>2</x:v>
      </x:c>
      <x:c r="F208" s="83"/>
      <x:c r="G208" s="83"/>
      <x:c r="H208" s="83"/>
      <x:c r="I208" s="83"/>
      <x:c r="J208" s="83"/>
      <x:c r="K208" s="83"/>
      <x:c r="L208" s="83"/>
      <x:c r="M208" s="84"/>
      <x:c r="N208" s="86" t="str">
        <x:f>IF(C208="","",IFERROR(F208/E208,0))</x:f>
      </x:c>
      <x:c r="O208" s="107" t="str">
        <x:f>IF(C208="","",IFERROR(G208/F208,0))</x:f>
      </x:c>
    </x:row>
    <x:row r="209">
      <x:c r="A209" s="102" t="n">
        <x:v>11</x:v>
      </x:c>
      <x:c r="B209" s="103" t="n">
        <x:v>4</x:v>
      </x:c>
      <x:c r="C209" s="83"/>
      <x:c r="D209" s="83" t="str">
        <x:f>IFERROR(INDEX('学员台账'!$B$6:$B$25,MATCH(C209,'学员台账'!$A$6:$A$25,0)),"")</x:f>
      </x:c>
      <x:c r="E209" s="83" t="n">
        <x:v>2</x:v>
      </x:c>
      <x:c r="F209" s="83"/>
      <x:c r="G209" s="83"/>
      <x:c r="H209" s="83"/>
      <x:c r="I209" s="83"/>
      <x:c r="J209" s="83"/>
      <x:c r="K209" s="83"/>
      <x:c r="L209" s="83"/>
      <x:c r="M209" s="84"/>
      <x:c r="N209" s="86" t="str">
        <x:f>IF(C209="","",IFERROR(F209/E209,0))</x:f>
      </x:c>
      <x:c r="O209" s="107" t="str">
        <x:f>IF(C209="","",IFERROR(G209/F209,0))</x:f>
      </x:c>
    </x:row>
    <x:row r="210">
      <x:c r="A210" s="102" t="n">
        <x:v>11</x:v>
      </x:c>
      <x:c r="B210" s="103" t="n">
        <x:v>5</x:v>
      </x:c>
      <x:c r="C210" s="83"/>
      <x:c r="D210" s="83" t="str">
        <x:f>IFERROR(INDEX('学员台账'!$B$6:$B$25,MATCH(C210,'学员台账'!$A$6:$A$25,0)),"")</x:f>
      </x:c>
      <x:c r="E210" s="83" t="n">
        <x:v>2</x:v>
      </x:c>
      <x:c r="F210" s="83"/>
      <x:c r="G210" s="83"/>
      <x:c r="H210" s="83"/>
      <x:c r="I210" s="83"/>
      <x:c r="J210" s="83"/>
      <x:c r="K210" s="83"/>
      <x:c r="L210" s="83"/>
      <x:c r="M210" s="84"/>
      <x:c r="N210" s="86" t="str">
        <x:f>IF(C210="","",IFERROR(F210/E210,0))</x:f>
      </x:c>
      <x:c r="O210" s="107" t="str">
        <x:f>IF(C210="","",IFERROR(G210/F210,0))</x:f>
      </x:c>
    </x:row>
    <x:row r="211">
      <x:c r="A211" s="102" t="n">
        <x:v>11</x:v>
      </x:c>
      <x:c r="B211" s="103" t="n">
        <x:v>6</x:v>
      </x:c>
      <x:c r="C211" s="83"/>
      <x:c r="D211" s="83" t="str">
        <x:f>IFERROR(INDEX('学员台账'!$B$6:$B$25,MATCH(C211,'学员台账'!$A$6:$A$25,0)),"")</x:f>
      </x:c>
      <x:c r="E211" s="83" t="n">
        <x:v>2</x:v>
      </x:c>
      <x:c r="F211" s="83"/>
      <x:c r="G211" s="83"/>
      <x:c r="H211" s="83"/>
      <x:c r="I211" s="83"/>
      <x:c r="J211" s="83"/>
      <x:c r="K211" s="83"/>
      <x:c r="L211" s="83"/>
      <x:c r="M211" s="84"/>
      <x:c r="N211" s="86" t="str">
        <x:f>IF(C211="","",IFERROR(F211/E211,0))</x:f>
      </x:c>
      <x:c r="O211" s="107" t="str">
        <x:f>IF(C211="","",IFERROR(G211/F211,0))</x:f>
      </x:c>
    </x:row>
    <x:row r="212">
      <x:c r="A212" s="102" t="n">
        <x:v>11</x:v>
      </x:c>
      <x:c r="B212" s="103" t="n">
        <x:v>7</x:v>
      </x:c>
      <x:c r="C212" s="83"/>
      <x:c r="D212" s="83" t="str">
        <x:f>IFERROR(INDEX('学员台账'!$B$6:$B$25,MATCH(C212,'学员台账'!$A$6:$A$25,0)),"")</x:f>
      </x:c>
      <x:c r="E212" s="83" t="n">
        <x:v>2</x:v>
      </x:c>
      <x:c r="F212" s="83"/>
      <x:c r="G212" s="83"/>
      <x:c r="H212" s="83"/>
      <x:c r="I212" s="83"/>
      <x:c r="J212" s="83"/>
      <x:c r="K212" s="83"/>
      <x:c r="L212" s="83"/>
      <x:c r="M212" s="84"/>
      <x:c r="N212" s="86" t="str">
        <x:f>IF(C212="","",IFERROR(F212/E212,0))</x:f>
      </x:c>
      <x:c r="O212" s="107" t="str">
        <x:f>IF(C212="","",IFERROR(G212/F212,0))</x:f>
      </x:c>
    </x:row>
    <x:row r="213">
      <x:c r="A213" s="102" t="n">
        <x:v>11</x:v>
      </x:c>
      <x:c r="B213" s="103" t="n">
        <x:v>8</x:v>
      </x:c>
      <x:c r="C213" s="83"/>
      <x:c r="D213" s="83" t="str">
        <x:f>IFERROR(INDEX('学员台账'!$B$6:$B$25,MATCH(C213,'学员台账'!$A$6:$A$25,0)),"")</x:f>
      </x:c>
      <x:c r="E213" s="83" t="n">
        <x:v>2</x:v>
      </x:c>
      <x:c r="F213" s="83"/>
      <x:c r="G213" s="83"/>
      <x:c r="H213" s="83"/>
      <x:c r="I213" s="83"/>
      <x:c r="J213" s="83"/>
      <x:c r="K213" s="83"/>
      <x:c r="L213" s="83"/>
      <x:c r="M213" s="84"/>
      <x:c r="N213" s="86" t="str">
        <x:f>IF(C213="","",IFERROR(F213/E213,0))</x:f>
      </x:c>
      <x:c r="O213" s="107" t="str">
        <x:f>IF(C213="","",IFERROR(G213/F213,0))</x:f>
      </x:c>
    </x:row>
    <x:row r="214">
      <x:c r="A214" s="102" t="n">
        <x:v>11</x:v>
      </x:c>
      <x:c r="B214" s="103" t="n">
        <x:v>9</x:v>
      </x:c>
      <x:c r="C214" s="83"/>
      <x:c r="D214" s="83" t="str">
        <x:f>IFERROR(INDEX('学员台账'!$B$6:$B$25,MATCH(C214,'学员台账'!$A$6:$A$25,0)),"")</x:f>
      </x:c>
      <x:c r="E214" s="83" t="n">
        <x:v>2</x:v>
      </x:c>
      <x:c r="F214" s="83"/>
      <x:c r="G214" s="83"/>
      <x:c r="H214" s="83"/>
      <x:c r="I214" s="83"/>
      <x:c r="J214" s="83"/>
      <x:c r="K214" s="83"/>
      <x:c r="L214" s="83"/>
      <x:c r="M214" s="84"/>
      <x:c r="N214" s="86" t="str">
        <x:f>IF(C214="","",IFERROR(F214/E214,0))</x:f>
      </x:c>
      <x:c r="O214" s="107" t="str">
        <x:f>IF(C214="","",IFERROR(G214/F214,0))</x:f>
      </x:c>
    </x:row>
    <x:row r="215">
      <x:c r="A215" s="102" t="n">
        <x:v>11</x:v>
      </x:c>
      <x:c r="B215" s="103" t="n">
        <x:v>10</x:v>
      </x:c>
      <x:c r="C215" s="83"/>
      <x:c r="D215" s="83" t="str">
        <x:f>IFERROR(INDEX('学员台账'!$B$6:$B$25,MATCH(C215,'学员台账'!$A$6:$A$25,0)),"")</x:f>
      </x:c>
      <x:c r="E215" s="83" t="n">
        <x:v>2</x:v>
      </x:c>
      <x:c r="F215" s="83"/>
      <x:c r="G215" s="83"/>
      <x:c r="H215" s="83"/>
      <x:c r="I215" s="83"/>
      <x:c r="J215" s="83"/>
      <x:c r="K215" s="83"/>
      <x:c r="L215" s="83"/>
      <x:c r="M215" s="84"/>
      <x:c r="N215" s="86" t="str">
        <x:f>IF(C215="","",IFERROR(F215/E215,0))</x:f>
      </x:c>
      <x:c r="O215" s="107" t="str">
        <x:f>IF(C215="","",IFERROR(G215/F215,0))</x:f>
      </x:c>
    </x:row>
    <x:row r="216">
      <x:c r="A216" s="102" t="n">
        <x:v>11</x:v>
      </x:c>
      <x:c r="B216" s="103" t="n">
        <x:v>11</x:v>
      </x:c>
      <x:c r="C216" s="83"/>
      <x:c r="D216" s="83" t="str">
        <x:f>IFERROR(INDEX('学员台账'!$B$6:$B$25,MATCH(C216,'学员台账'!$A$6:$A$25,0)),"")</x:f>
      </x:c>
      <x:c r="E216" s="83" t="n">
        <x:v>2</x:v>
      </x:c>
      <x:c r="F216" s="83"/>
      <x:c r="G216" s="83"/>
      <x:c r="H216" s="83"/>
      <x:c r="I216" s="83"/>
      <x:c r="J216" s="83"/>
      <x:c r="K216" s="83"/>
      <x:c r="L216" s="83"/>
      <x:c r="M216" s="84"/>
      <x:c r="N216" s="86" t="str">
        <x:f>IF(C216="","",IFERROR(F216/E216,0))</x:f>
      </x:c>
      <x:c r="O216" s="107" t="str">
        <x:f>IF(C216="","",IFERROR(G216/F216,0))</x:f>
      </x:c>
    </x:row>
    <x:row r="217">
      <x:c r="A217" s="102" t="n">
        <x:v>11</x:v>
      </x:c>
      <x:c r="B217" s="103" t="n">
        <x:v>12</x:v>
      </x:c>
      <x:c r="C217" s="83"/>
      <x:c r="D217" s="83" t="str">
        <x:f>IFERROR(INDEX('学员台账'!$B$6:$B$25,MATCH(C217,'学员台账'!$A$6:$A$25,0)),"")</x:f>
      </x:c>
      <x:c r="E217" s="83" t="n">
        <x:v>2</x:v>
      </x:c>
      <x:c r="F217" s="83"/>
      <x:c r="G217" s="83"/>
      <x:c r="H217" s="83"/>
      <x:c r="I217" s="83"/>
      <x:c r="J217" s="83"/>
      <x:c r="K217" s="83"/>
      <x:c r="L217" s="83"/>
      <x:c r="M217" s="84"/>
      <x:c r="N217" s="86" t="str">
        <x:f>IF(C217="","",IFERROR(F217/E217,0))</x:f>
      </x:c>
      <x:c r="O217" s="107" t="str">
        <x:f>IF(C217="","",IFERROR(G217/F217,0))</x:f>
      </x:c>
    </x:row>
    <x:row r="218">
      <x:c r="A218" s="102" t="n">
        <x:v>11</x:v>
      </x:c>
      <x:c r="B218" s="103" t="n">
        <x:v>13</x:v>
      </x:c>
      <x:c r="C218" s="83"/>
      <x:c r="D218" s="83" t="str">
        <x:f>IFERROR(INDEX('学员台账'!$B$6:$B$25,MATCH(C218,'学员台账'!$A$6:$A$25,0)),"")</x:f>
      </x:c>
      <x:c r="E218" s="83" t="n">
        <x:v>2</x:v>
      </x:c>
      <x:c r="F218" s="83"/>
      <x:c r="G218" s="83"/>
      <x:c r="H218" s="83"/>
      <x:c r="I218" s="83"/>
      <x:c r="J218" s="83"/>
      <x:c r="K218" s="83"/>
      <x:c r="L218" s="83"/>
      <x:c r="M218" s="84"/>
      <x:c r="N218" s="86" t="str">
        <x:f>IF(C218="","",IFERROR(F218/E218,0))</x:f>
      </x:c>
      <x:c r="O218" s="107" t="str">
        <x:f>IF(C218="","",IFERROR(G218/F218,0))</x:f>
      </x:c>
    </x:row>
    <x:row r="219">
      <x:c r="A219" s="102" t="n">
        <x:v>11</x:v>
      </x:c>
      <x:c r="B219" s="103" t="n">
        <x:v>14</x:v>
      </x:c>
      <x:c r="C219" s="83"/>
      <x:c r="D219" s="83" t="str">
        <x:f>IFERROR(INDEX('学员台账'!$B$6:$B$25,MATCH(C219,'学员台账'!$A$6:$A$25,0)),"")</x:f>
      </x:c>
      <x:c r="E219" s="83" t="n">
        <x:v>2</x:v>
      </x:c>
      <x:c r="F219" s="83"/>
      <x:c r="G219" s="83"/>
      <x:c r="H219" s="83"/>
      <x:c r="I219" s="83"/>
      <x:c r="J219" s="83"/>
      <x:c r="K219" s="83"/>
      <x:c r="L219" s="83"/>
      <x:c r="M219" s="84"/>
      <x:c r="N219" s="86" t="str">
        <x:f>IF(C219="","",IFERROR(F219/E219,0))</x:f>
      </x:c>
      <x:c r="O219" s="107" t="str">
        <x:f>IF(C219="","",IFERROR(G219/F219,0))</x:f>
      </x:c>
    </x:row>
    <x:row r="220">
      <x:c r="A220" s="102" t="n">
        <x:v>11</x:v>
      </x:c>
      <x:c r="B220" s="103" t="n">
        <x:v>15</x:v>
      </x:c>
      <x:c r="C220" s="83"/>
      <x:c r="D220" s="83" t="str">
        <x:f>IFERROR(INDEX('学员台账'!$B$6:$B$25,MATCH(C220,'学员台账'!$A$6:$A$25,0)),"")</x:f>
      </x:c>
      <x:c r="E220" s="83" t="n">
        <x:v>2</x:v>
      </x:c>
      <x:c r="F220" s="83"/>
      <x:c r="G220" s="83"/>
      <x:c r="H220" s="83"/>
      <x:c r="I220" s="83"/>
      <x:c r="J220" s="83"/>
      <x:c r="K220" s="83"/>
      <x:c r="L220" s="83"/>
      <x:c r="M220" s="84"/>
      <x:c r="N220" s="86" t="str">
        <x:f>IF(C220="","",IFERROR(F220/E220,0))</x:f>
      </x:c>
      <x:c r="O220" s="107" t="str">
        <x:f>IF(C220="","",IFERROR(G220/F220,0))</x:f>
      </x:c>
    </x:row>
    <x:row r="221">
      <x:c r="A221" s="102" t="n">
        <x:v>11</x:v>
      </x:c>
      <x:c r="B221" s="103" t="n">
        <x:v>16</x:v>
      </x:c>
      <x:c r="C221" s="83"/>
      <x:c r="D221" s="83" t="str">
        <x:f>IFERROR(INDEX('学员台账'!$B$6:$B$25,MATCH(C221,'学员台账'!$A$6:$A$25,0)),"")</x:f>
      </x:c>
      <x:c r="E221" s="83" t="n">
        <x:v>2</x:v>
      </x:c>
      <x:c r="F221" s="83"/>
      <x:c r="G221" s="83"/>
      <x:c r="H221" s="83"/>
      <x:c r="I221" s="83"/>
      <x:c r="J221" s="83"/>
      <x:c r="K221" s="83"/>
      <x:c r="L221" s="83"/>
      <x:c r="M221" s="84"/>
      <x:c r="N221" s="86" t="str">
        <x:f>IF(C221="","",IFERROR(F221/E221,0))</x:f>
      </x:c>
      <x:c r="O221" s="107" t="str">
        <x:f>IF(C221="","",IFERROR(G221/F221,0))</x:f>
      </x:c>
    </x:row>
    <x:row r="222">
      <x:c r="A222" s="102" t="n">
        <x:v>11</x:v>
      </x:c>
      <x:c r="B222" s="103" t="n">
        <x:v>17</x:v>
      </x:c>
      <x:c r="C222" s="83"/>
      <x:c r="D222" s="83" t="str">
        <x:f>IFERROR(INDEX('学员台账'!$B$6:$B$25,MATCH(C222,'学员台账'!$A$6:$A$25,0)),"")</x:f>
      </x:c>
      <x:c r="E222" s="83" t="n">
        <x:v>2</x:v>
      </x:c>
      <x:c r="F222" s="83"/>
      <x:c r="G222" s="83"/>
      <x:c r="H222" s="83"/>
      <x:c r="I222" s="83"/>
      <x:c r="J222" s="83"/>
      <x:c r="K222" s="83"/>
      <x:c r="L222" s="83"/>
      <x:c r="M222" s="84"/>
      <x:c r="N222" s="86" t="str">
        <x:f>IF(C222="","",IFERROR(F222/E222,0))</x:f>
      </x:c>
      <x:c r="O222" s="107" t="str">
        <x:f>IF(C222="","",IFERROR(G222/F222,0))</x:f>
      </x:c>
    </x:row>
    <x:row r="223">
      <x:c r="A223" s="102" t="n">
        <x:v>11</x:v>
      </x:c>
      <x:c r="B223" s="103" t="n">
        <x:v>18</x:v>
      </x:c>
      <x:c r="C223" s="83"/>
      <x:c r="D223" s="83" t="str">
        <x:f>IFERROR(INDEX('学员台账'!$B$6:$B$25,MATCH(C223,'学员台账'!$A$6:$A$25,0)),"")</x:f>
      </x:c>
      <x:c r="E223" s="83" t="n">
        <x:v>2</x:v>
      </x:c>
      <x:c r="F223" s="83"/>
      <x:c r="G223" s="83"/>
      <x:c r="H223" s="83"/>
      <x:c r="I223" s="83"/>
      <x:c r="J223" s="83"/>
      <x:c r="K223" s="83"/>
      <x:c r="L223" s="83"/>
      <x:c r="M223" s="84"/>
      <x:c r="N223" s="86" t="str">
        <x:f>IF(C223="","",IFERROR(F223/E223,0))</x:f>
      </x:c>
      <x:c r="O223" s="107" t="str">
        <x:f>IF(C223="","",IFERROR(G223/F223,0))</x:f>
      </x:c>
    </x:row>
    <x:row r="224">
      <x:c r="A224" s="102" t="n">
        <x:v>11</x:v>
      </x:c>
      <x:c r="B224" s="103" t="n">
        <x:v>19</x:v>
      </x:c>
      <x:c r="C224" s="83"/>
      <x:c r="D224" s="83" t="str">
        <x:f>IFERROR(INDEX('学员台账'!$B$6:$B$25,MATCH(C224,'学员台账'!$A$6:$A$25,0)),"")</x:f>
      </x:c>
      <x:c r="E224" s="83" t="n">
        <x:v>2</x:v>
      </x:c>
      <x:c r="F224" s="83"/>
      <x:c r="G224" s="83"/>
      <x:c r="H224" s="83"/>
      <x:c r="I224" s="83"/>
      <x:c r="J224" s="83"/>
      <x:c r="K224" s="83"/>
      <x:c r="L224" s="83"/>
      <x:c r="M224" s="84"/>
      <x:c r="N224" s="86" t="str">
        <x:f>IF(C224="","",IFERROR(F224/E224,0))</x:f>
      </x:c>
      <x:c r="O224" s="107" t="str">
        <x:f>IF(C224="","",IFERROR(G224/F224,0))</x:f>
      </x:c>
    </x:row>
    <x:row r="225">
      <x:c r="A225" s="102" t="n">
        <x:v>11</x:v>
      </x:c>
      <x:c r="B225" s="103" t="n">
        <x:v>20</x:v>
      </x:c>
      <x:c r="C225" s="83"/>
      <x:c r="D225" s="83" t="str">
        <x:f>IFERROR(INDEX('学员台账'!$B$6:$B$25,MATCH(C225,'学员台账'!$A$6:$A$25,0)),"")</x:f>
      </x:c>
      <x:c r="E225" s="83" t="n">
        <x:v>2</x:v>
      </x:c>
      <x:c r="F225" s="83"/>
      <x:c r="G225" s="83"/>
      <x:c r="H225" s="83"/>
      <x:c r="I225" s="83"/>
      <x:c r="J225" s="83"/>
      <x:c r="K225" s="83"/>
      <x:c r="L225" s="83"/>
      <x:c r="M225" s="84"/>
      <x:c r="N225" s="86" t="str">
        <x:f>IF(C225="","",IFERROR(F225/E225,0))</x:f>
      </x:c>
      <x:c r="O225" s="107" t="str">
        <x:f>IF(C225="","",IFERROR(G225/F225,0))</x:f>
      </x:c>
    </x:row>
    <x:row r="226">
      <x:c r="A226" s="102" t="n">
        <x:v>12</x:v>
      </x:c>
      <x:c r="B226" s="103" t="n">
        <x:v>1</x:v>
      </x:c>
      <x:c r="C226" s="83"/>
      <x:c r="D226" s="83" t="str">
        <x:f>IFERROR(INDEX('学员台账'!$B$6:$B$25,MATCH(C226,'学员台账'!$A$6:$A$25,0)),"")</x:f>
      </x:c>
      <x:c r="E226" s="83" t="n">
        <x:v>2</x:v>
      </x:c>
      <x:c r="F226" s="83"/>
      <x:c r="G226" s="83"/>
      <x:c r="H226" s="83"/>
      <x:c r="I226" s="83"/>
      <x:c r="J226" s="83"/>
      <x:c r="K226" s="83"/>
      <x:c r="L226" s="83"/>
      <x:c r="M226" s="84"/>
      <x:c r="N226" s="86" t="str">
        <x:f>IF(C226="","",IFERROR(F226/E226,0))</x:f>
      </x:c>
      <x:c r="O226" s="107" t="str">
        <x:f>IF(C226="","",IFERROR(G226/F226,0))</x:f>
      </x:c>
    </x:row>
    <x:row r="227">
      <x:c r="A227" s="102" t="n">
        <x:v>12</x:v>
      </x:c>
      <x:c r="B227" s="103" t="n">
        <x:v>2</x:v>
      </x:c>
      <x:c r="C227" s="83"/>
      <x:c r="D227" s="83" t="str">
        <x:f>IFERROR(INDEX('学员台账'!$B$6:$B$25,MATCH(C227,'学员台账'!$A$6:$A$25,0)),"")</x:f>
      </x:c>
      <x:c r="E227" s="83" t="n">
        <x:v>2</x:v>
      </x:c>
      <x:c r="F227" s="83"/>
      <x:c r="G227" s="83"/>
      <x:c r="H227" s="83"/>
      <x:c r="I227" s="83"/>
      <x:c r="J227" s="83"/>
      <x:c r="K227" s="83"/>
      <x:c r="L227" s="83"/>
      <x:c r="M227" s="84"/>
      <x:c r="N227" s="86" t="str">
        <x:f>IF(C227="","",IFERROR(F227/E227,0))</x:f>
      </x:c>
      <x:c r="O227" s="107" t="str">
        <x:f>IF(C227="","",IFERROR(G227/F227,0))</x:f>
      </x:c>
    </x:row>
    <x:row r="228">
      <x:c r="A228" s="102" t="n">
        <x:v>12</x:v>
      </x:c>
      <x:c r="B228" s="103" t="n">
        <x:v>3</x:v>
      </x:c>
      <x:c r="C228" s="83"/>
      <x:c r="D228" s="83" t="str">
        <x:f>IFERROR(INDEX('学员台账'!$B$6:$B$25,MATCH(C228,'学员台账'!$A$6:$A$25,0)),"")</x:f>
      </x:c>
      <x:c r="E228" s="83" t="n">
        <x:v>2</x:v>
      </x:c>
      <x:c r="F228" s="83"/>
      <x:c r="G228" s="83"/>
      <x:c r="H228" s="83"/>
      <x:c r="I228" s="83"/>
      <x:c r="J228" s="83"/>
      <x:c r="K228" s="83"/>
      <x:c r="L228" s="83"/>
      <x:c r="M228" s="84"/>
      <x:c r="N228" s="86" t="str">
        <x:f>IF(C228="","",IFERROR(F228/E228,0))</x:f>
      </x:c>
      <x:c r="O228" s="107" t="str">
        <x:f>IF(C228="","",IFERROR(G228/F228,0))</x:f>
      </x:c>
    </x:row>
    <x:row r="229">
      <x:c r="A229" s="102" t="n">
        <x:v>12</x:v>
      </x:c>
      <x:c r="B229" s="103" t="n">
        <x:v>4</x:v>
      </x:c>
      <x:c r="C229" s="83"/>
      <x:c r="D229" s="83" t="str">
        <x:f>IFERROR(INDEX('学员台账'!$B$6:$B$25,MATCH(C229,'学员台账'!$A$6:$A$25,0)),"")</x:f>
      </x:c>
      <x:c r="E229" s="83" t="n">
        <x:v>2</x:v>
      </x:c>
      <x:c r="F229" s="83"/>
      <x:c r="G229" s="83"/>
      <x:c r="H229" s="83"/>
      <x:c r="I229" s="83"/>
      <x:c r="J229" s="83"/>
      <x:c r="K229" s="83"/>
      <x:c r="L229" s="83"/>
      <x:c r="M229" s="84"/>
      <x:c r="N229" s="86" t="str">
        <x:f>IF(C229="","",IFERROR(F229/E229,0))</x:f>
      </x:c>
      <x:c r="O229" s="107" t="str">
        <x:f>IF(C229="","",IFERROR(G229/F229,0))</x:f>
      </x:c>
    </x:row>
    <x:row r="230">
      <x:c r="A230" s="102" t="n">
        <x:v>12</x:v>
      </x:c>
      <x:c r="B230" s="103" t="n">
        <x:v>5</x:v>
      </x:c>
      <x:c r="C230" s="83"/>
      <x:c r="D230" s="83" t="str">
        <x:f>IFERROR(INDEX('学员台账'!$B$6:$B$25,MATCH(C230,'学员台账'!$A$6:$A$25,0)),"")</x:f>
      </x:c>
      <x:c r="E230" s="83" t="n">
        <x:v>2</x:v>
      </x:c>
      <x:c r="F230" s="83"/>
      <x:c r="G230" s="83"/>
      <x:c r="H230" s="83"/>
      <x:c r="I230" s="83"/>
      <x:c r="J230" s="83"/>
      <x:c r="K230" s="83"/>
      <x:c r="L230" s="83"/>
      <x:c r="M230" s="84"/>
      <x:c r="N230" s="86" t="str">
        <x:f>IF(C230="","",IFERROR(F230/E230,0))</x:f>
      </x:c>
      <x:c r="O230" s="107" t="str">
        <x:f>IF(C230="","",IFERROR(G230/F230,0))</x:f>
      </x:c>
    </x:row>
    <x:row r="231">
      <x:c r="A231" s="102" t="n">
        <x:v>12</x:v>
      </x:c>
      <x:c r="B231" s="103" t="n">
        <x:v>6</x:v>
      </x:c>
      <x:c r="C231" s="83"/>
      <x:c r="D231" s="83" t="str">
        <x:f>IFERROR(INDEX('学员台账'!$B$6:$B$25,MATCH(C231,'学员台账'!$A$6:$A$25,0)),"")</x:f>
      </x:c>
      <x:c r="E231" s="83" t="n">
        <x:v>2</x:v>
      </x:c>
      <x:c r="F231" s="83"/>
      <x:c r="G231" s="83"/>
      <x:c r="H231" s="83"/>
      <x:c r="I231" s="83"/>
      <x:c r="J231" s="83"/>
      <x:c r="K231" s="83"/>
      <x:c r="L231" s="83"/>
      <x:c r="M231" s="84"/>
      <x:c r="N231" s="86" t="str">
        <x:f>IF(C231="","",IFERROR(F231/E231,0))</x:f>
      </x:c>
      <x:c r="O231" s="107" t="str">
        <x:f>IF(C231="","",IFERROR(G231/F231,0))</x:f>
      </x:c>
    </x:row>
    <x:row r="232">
      <x:c r="A232" s="102" t="n">
        <x:v>12</x:v>
      </x:c>
      <x:c r="B232" s="103" t="n">
        <x:v>7</x:v>
      </x:c>
      <x:c r="C232" s="83"/>
      <x:c r="D232" s="83" t="str">
        <x:f>IFERROR(INDEX('学员台账'!$B$6:$B$25,MATCH(C232,'学员台账'!$A$6:$A$25,0)),"")</x:f>
      </x:c>
      <x:c r="E232" s="83" t="n">
        <x:v>2</x:v>
      </x:c>
      <x:c r="F232" s="83"/>
      <x:c r="G232" s="83"/>
      <x:c r="H232" s="83"/>
      <x:c r="I232" s="83"/>
      <x:c r="J232" s="83"/>
      <x:c r="K232" s="83"/>
      <x:c r="L232" s="83"/>
      <x:c r="M232" s="84"/>
      <x:c r="N232" s="86" t="str">
        <x:f>IF(C232="","",IFERROR(F232/E232,0))</x:f>
      </x:c>
      <x:c r="O232" s="107" t="str">
        <x:f>IF(C232="","",IFERROR(G232/F232,0))</x:f>
      </x:c>
    </x:row>
    <x:row r="233">
      <x:c r="A233" s="102" t="n">
        <x:v>12</x:v>
      </x:c>
      <x:c r="B233" s="103" t="n">
        <x:v>8</x:v>
      </x:c>
      <x:c r="C233" s="83"/>
      <x:c r="D233" s="83" t="str">
        <x:f>IFERROR(INDEX('学员台账'!$B$6:$B$25,MATCH(C233,'学员台账'!$A$6:$A$25,0)),"")</x:f>
      </x:c>
      <x:c r="E233" s="83" t="n">
        <x:v>2</x:v>
      </x:c>
      <x:c r="F233" s="83"/>
      <x:c r="G233" s="83"/>
      <x:c r="H233" s="83"/>
      <x:c r="I233" s="83"/>
      <x:c r="J233" s="83"/>
      <x:c r="K233" s="83"/>
      <x:c r="L233" s="83"/>
      <x:c r="M233" s="84"/>
      <x:c r="N233" s="86" t="str">
        <x:f>IF(C233="","",IFERROR(F233/E233,0))</x:f>
      </x:c>
      <x:c r="O233" s="107" t="str">
        <x:f>IF(C233="","",IFERROR(G233/F233,0))</x:f>
      </x:c>
    </x:row>
    <x:row r="234">
      <x:c r="A234" s="102" t="n">
        <x:v>12</x:v>
      </x:c>
      <x:c r="B234" s="103" t="n">
        <x:v>9</x:v>
      </x:c>
      <x:c r="C234" s="83"/>
      <x:c r="D234" s="83" t="str">
        <x:f>IFERROR(INDEX('学员台账'!$B$6:$B$25,MATCH(C234,'学员台账'!$A$6:$A$25,0)),"")</x:f>
      </x:c>
      <x:c r="E234" s="83" t="n">
        <x:v>2</x:v>
      </x:c>
      <x:c r="F234" s="83"/>
      <x:c r="G234" s="83"/>
      <x:c r="H234" s="83"/>
      <x:c r="I234" s="83"/>
      <x:c r="J234" s="83"/>
      <x:c r="K234" s="83"/>
      <x:c r="L234" s="83"/>
      <x:c r="M234" s="84"/>
      <x:c r="N234" s="86" t="str">
        <x:f>IF(C234="","",IFERROR(F234/E234,0))</x:f>
      </x:c>
      <x:c r="O234" s="107" t="str">
        <x:f>IF(C234="","",IFERROR(G234/F234,0))</x:f>
      </x:c>
    </x:row>
    <x:row r="235">
      <x:c r="A235" s="102" t="n">
        <x:v>12</x:v>
      </x:c>
      <x:c r="B235" s="103" t="n">
        <x:v>10</x:v>
      </x:c>
      <x:c r="C235" s="83"/>
      <x:c r="D235" s="83" t="str">
        <x:f>IFERROR(INDEX('学员台账'!$B$6:$B$25,MATCH(C235,'学员台账'!$A$6:$A$25,0)),"")</x:f>
      </x:c>
      <x:c r="E235" s="83" t="n">
        <x:v>2</x:v>
      </x:c>
      <x:c r="F235" s="83"/>
      <x:c r="G235" s="83"/>
      <x:c r="H235" s="83"/>
      <x:c r="I235" s="83"/>
      <x:c r="J235" s="83"/>
      <x:c r="K235" s="83"/>
      <x:c r="L235" s="83"/>
      <x:c r="M235" s="84"/>
      <x:c r="N235" s="86" t="str">
        <x:f>IF(C235="","",IFERROR(F235/E235,0))</x:f>
      </x:c>
      <x:c r="O235" s="107" t="str">
        <x:f>IF(C235="","",IFERROR(G235/F235,0))</x:f>
      </x:c>
    </x:row>
    <x:row r="236">
      <x:c r="A236" s="102" t="n">
        <x:v>12</x:v>
      </x:c>
      <x:c r="B236" s="103" t="n">
        <x:v>11</x:v>
      </x:c>
      <x:c r="C236" s="83"/>
      <x:c r="D236" s="83" t="str">
        <x:f>IFERROR(INDEX('学员台账'!$B$6:$B$25,MATCH(C236,'学员台账'!$A$6:$A$25,0)),"")</x:f>
      </x:c>
      <x:c r="E236" s="83" t="n">
        <x:v>2</x:v>
      </x:c>
      <x:c r="F236" s="83"/>
      <x:c r="G236" s="83"/>
      <x:c r="H236" s="83"/>
      <x:c r="I236" s="83"/>
      <x:c r="J236" s="83"/>
      <x:c r="K236" s="83"/>
      <x:c r="L236" s="83"/>
      <x:c r="M236" s="84"/>
      <x:c r="N236" s="86" t="str">
        <x:f>IF(C236="","",IFERROR(F236/E236,0))</x:f>
      </x:c>
      <x:c r="O236" s="107" t="str">
        <x:f>IF(C236="","",IFERROR(G236/F236,0))</x:f>
      </x:c>
    </x:row>
    <x:row r="237">
      <x:c r="A237" s="102" t="n">
        <x:v>12</x:v>
      </x:c>
      <x:c r="B237" s="103" t="n">
        <x:v>12</x:v>
      </x:c>
      <x:c r="C237" s="83"/>
      <x:c r="D237" s="83" t="str">
        <x:f>IFERROR(INDEX('学员台账'!$B$6:$B$25,MATCH(C237,'学员台账'!$A$6:$A$25,0)),"")</x:f>
      </x:c>
      <x:c r="E237" s="83" t="n">
        <x:v>2</x:v>
      </x:c>
      <x:c r="F237" s="83"/>
      <x:c r="G237" s="83"/>
      <x:c r="H237" s="83"/>
      <x:c r="I237" s="83"/>
      <x:c r="J237" s="83"/>
      <x:c r="K237" s="83"/>
      <x:c r="L237" s="83"/>
      <x:c r="M237" s="84"/>
      <x:c r="N237" s="86" t="str">
        <x:f>IF(C237="","",IFERROR(F237/E237,0))</x:f>
      </x:c>
      <x:c r="O237" s="107" t="str">
        <x:f>IF(C237="","",IFERROR(G237/F237,0))</x:f>
      </x:c>
    </x:row>
    <x:row r="238">
      <x:c r="A238" s="102" t="n">
        <x:v>12</x:v>
      </x:c>
      <x:c r="B238" s="103" t="n">
        <x:v>13</x:v>
      </x:c>
      <x:c r="C238" s="83"/>
      <x:c r="D238" s="83" t="str">
        <x:f>IFERROR(INDEX('学员台账'!$B$6:$B$25,MATCH(C238,'学员台账'!$A$6:$A$25,0)),"")</x:f>
      </x:c>
      <x:c r="E238" s="83" t="n">
        <x:v>2</x:v>
      </x:c>
      <x:c r="F238" s="83"/>
      <x:c r="G238" s="83"/>
      <x:c r="H238" s="83"/>
      <x:c r="I238" s="83"/>
      <x:c r="J238" s="83"/>
      <x:c r="K238" s="83"/>
      <x:c r="L238" s="83"/>
      <x:c r="M238" s="84"/>
      <x:c r="N238" s="86" t="str">
        <x:f>IF(C238="","",IFERROR(F238/E238,0))</x:f>
      </x:c>
      <x:c r="O238" s="107" t="str">
        <x:f>IF(C238="","",IFERROR(G238/F238,0))</x:f>
      </x:c>
    </x:row>
    <x:row r="239">
      <x:c r="A239" s="102" t="n">
        <x:v>12</x:v>
      </x:c>
      <x:c r="B239" s="103" t="n">
        <x:v>14</x:v>
      </x:c>
      <x:c r="C239" s="83"/>
      <x:c r="D239" s="83" t="str">
        <x:f>IFERROR(INDEX('学员台账'!$B$6:$B$25,MATCH(C239,'学员台账'!$A$6:$A$25,0)),"")</x:f>
      </x:c>
      <x:c r="E239" s="83" t="n">
        <x:v>2</x:v>
      </x:c>
      <x:c r="F239" s="83"/>
      <x:c r="G239" s="83"/>
      <x:c r="H239" s="83"/>
      <x:c r="I239" s="83"/>
      <x:c r="J239" s="83"/>
      <x:c r="K239" s="83"/>
      <x:c r="L239" s="83"/>
      <x:c r="M239" s="84"/>
      <x:c r="N239" s="86" t="str">
        <x:f>IF(C239="","",IFERROR(F239/E239,0))</x:f>
      </x:c>
      <x:c r="O239" s="107" t="str">
        <x:f>IF(C239="","",IFERROR(G239/F239,0))</x:f>
      </x:c>
    </x:row>
    <x:row r="240">
      <x:c r="A240" s="102" t="n">
        <x:v>12</x:v>
      </x:c>
      <x:c r="B240" s="103" t="n">
        <x:v>15</x:v>
      </x:c>
      <x:c r="C240" s="83"/>
      <x:c r="D240" s="83" t="str">
        <x:f>IFERROR(INDEX('学员台账'!$B$6:$B$25,MATCH(C240,'学员台账'!$A$6:$A$25,0)),"")</x:f>
      </x:c>
      <x:c r="E240" s="83" t="n">
        <x:v>2</x:v>
      </x:c>
      <x:c r="F240" s="83"/>
      <x:c r="G240" s="83"/>
      <x:c r="H240" s="83"/>
      <x:c r="I240" s="83"/>
      <x:c r="J240" s="83"/>
      <x:c r="K240" s="83"/>
      <x:c r="L240" s="83"/>
      <x:c r="M240" s="84"/>
      <x:c r="N240" s="86" t="str">
        <x:f>IF(C240="","",IFERROR(F240/E240,0))</x:f>
      </x:c>
      <x:c r="O240" s="107" t="str">
        <x:f>IF(C240="","",IFERROR(G240/F240,0))</x:f>
      </x:c>
    </x:row>
    <x:row r="241">
      <x:c r="A241" s="102" t="n">
        <x:v>12</x:v>
      </x:c>
      <x:c r="B241" s="103" t="n">
        <x:v>16</x:v>
      </x:c>
      <x:c r="C241" s="83"/>
      <x:c r="D241" s="83" t="str">
        <x:f>IFERROR(INDEX('学员台账'!$B$6:$B$25,MATCH(C241,'学员台账'!$A$6:$A$25,0)),"")</x:f>
      </x:c>
      <x:c r="E241" s="83" t="n">
        <x:v>2</x:v>
      </x:c>
      <x:c r="F241" s="83"/>
      <x:c r="G241" s="83"/>
      <x:c r="H241" s="83"/>
      <x:c r="I241" s="83"/>
      <x:c r="J241" s="83"/>
      <x:c r="K241" s="83"/>
      <x:c r="L241" s="83"/>
      <x:c r="M241" s="84"/>
      <x:c r="N241" s="86" t="str">
        <x:f>IF(C241="","",IFERROR(F241/E241,0))</x:f>
      </x:c>
      <x:c r="O241" s="107" t="str">
        <x:f>IF(C241="","",IFERROR(G241/F241,0))</x:f>
      </x:c>
    </x:row>
    <x:row r="242">
      <x:c r="A242" s="102" t="n">
        <x:v>12</x:v>
      </x:c>
      <x:c r="B242" s="103" t="n">
        <x:v>17</x:v>
      </x:c>
      <x:c r="C242" s="83"/>
      <x:c r="D242" s="83" t="str">
        <x:f>IFERROR(INDEX('学员台账'!$B$6:$B$25,MATCH(C242,'学员台账'!$A$6:$A$25,0)),"")</x:f>
      </x:c>
      <x:c r="E242" s="83" t="n">
        <x:v>2</x:v>
      </x:c>
      <x:c r="F242" s="83"/>
      <x:c r="G242" s="83"/>
      <x:c r="H242" s="83"/>
      <x:c r="I242" s="83"/>
      <x:c r="J242" s="83"/>
      <x:c r="K242" s="83"/>
      <x:c r="L242" s="83"/>
      <x:c r="M242" s="84"/>
      <x:c r="N242" s="86" t="str">
        <x:f>IF(C242="","",IFERROR(F242/E242,0))</x:f>
      </x:c>
      <x:c r="O242" s="107" t="str">
        <x:f>IF(C242="","",IFERROR(G242/F242,0))</x:f>
      </x:c>
    </x:row>
    <x:row r="243">
      <x:c r="A243" s="102" t="n">
        <x:v>12</x:v>
      </x:c>
      <x:c r="B243" s="103" t="n">
        <x:v>18</x:v>
      </x:c>
      <x:c r="C243" s="83"/>
      <x:c r="D243" s="83" t="str">
        <x:f>IFERROR(INDEX('学员台账'!$B$6:$B$25,MATCH(C243,'学员台账'!$A$6:$A$25,0)),"")</x:f>
      </x:c>
      <x:c r="E243" s="83" t="n">
        <x:v>2</x:v>
      </x:c>
      <x:c r="F243" s="83"/>
      <x:c r="G243" s="83"/>
      <x:c r="H243" s="83"/>
      <x:c r="I243" s="83"/>
      <x:c r="J243" s="83"/>
      <x:c r="K243" s="83"/>
      <x:c r="L243" s="83"/>
      <x:c r="M243" s="84"/>
      <x:c r="N243" s="86" t="str">
        <x:f>IF(C243="","",IFERROR(F243/E243,0))</x:f>
      </x:c>
      <x:c r="O243" s="107" t="str">
        <x:f>IF(C243="","",IFERROR(G243/F243,0))</x:f>
      </x:c>
    </x:row>
    <x:row r="244">
      <x:c r="A244" s="102" t="n">
        <x:v>12</x:v>
      </x:c>
      <x:c r="B244" s="103" t="n">
        <x:v>19</x:v>
      </x:c>
      <x:c r="C244" s="83"/>
      <x:c r="D244" s="83" t="str">
        <x:f>IFERROR(INDEX('学员台账'!$B$6:$B$25,MATCH(C244,'学员台账'!$A$6:$A$25,0)),"")</x:f>
      </x:c>
      <x:c r="E244" s="83" t="n">
        <x:v>2</x:v>
      </x:c>
      <x:c r="F244" s="83"/>
      <x:c r="G244" s="83"/>
      <x:c r="H244" s="83"/>
      <x:c r="I244" s="83"/>
      <x:c r="J244" s="83"/>
      <x:c r="K244" s="83"/>
      <x:c r="L244" s="83"/>
      <x:c r="M244" s="84"/>
      <x:c r="N244" s="86" t="str">
        <x:f>IF(C244="","",IFERROR(F244/E244,0))</x:f>
      </x:c>
      <x:c r="O244" s="107" t="str">
        <x:f>IF(C244="","",IFERROR(G244/F244,0))</x:f>
      </x:c>
    </x:row>
    <x:row r="245">
      <x:c r="A245" s="104" t="n">
        <x:v>12</x:v>
      </x:c>
      <x:c r="B245" s="105" t="n">
        <x:v>20</x:v>
      </x:c>
      <x:c r="C245" s="89"/>
      <x:c r="D245" s="89" t="str">
        <x:f>IFERROR(INDEX('学员台账'!$B$6:$B$25,MATCH(C245,'学员台账'!$A$6:$A$25,0)),"")</x:f>
      </x:c>
      <x:c r="E245" s="89" t="n">
        <x:v>2</x:v>
      </x:c>
      <x:c r="F245" s="89"/>
      <x:c r="G245" s="89"/>
      <x:c r="H245" s="89"/>
      <x:c r="I245" s="89"/>
      <x:c r="J245" s="89"/>
      <x:c r="K245" s="89"/>
      <x:c r="L245" s="89"/>
      <x:c r="M245" s="90"/>
      <x:c r="N245" s="92" t="str">
        <x:f>IF(C245="","",IFERROR(F245/E245,0))</x:f>
      </x:c>
      <x:c r="O245" s="108" t="str">
        <x:f>IF(C245="","",IFERROR(G245/F245,0))</x:f>
      </x:c>
    </x:row>
  </x:sheetData>
  <x:mergeCells>
    <x:mergeCell ref="A1:O2"/>
    <x:mergeCell ref="A3:O3"/>
  </x:mergeCells>
  <x:conditionalFormatting sqref="N6:O245">
    <x:cfRule type="dataBar" priority="1">
      <x:dataBar>
        <x:cfvo type="min"/>
        <x:cfvo type="max"/>
        <x:color rgb="FF168C76"/>
      </x:dataBar>
      <x:extLst>
        <x:ext xmlns:x14="http://schemas.microsoft.com/office/spreadsheetml/2009/9/main" uri="{B025F937-C7B1-47D3-B67F-A62EFF666E3E}">
          <x14:id>{49C8B4D1-4357-82A3-5C34-85E212AFA472}</x14:id>
        </x:ext>
      </x:extLst>
    </x:cfRule>
  </x:conditionalFormatting>
  <x:dataValidations count="2">
    <x:dataValidation type="decimal" operator="between" sqref="F6:H245">
      <x:formula1>0</x:formula1>
      <x:formula2>168</x:formula2>
    </x:dataValidation>
    <x:dataValidation type="list" sqref="I6:I245">
      <x:formula1>"无,时间不足,任务不清,工具问题,材料不足,信心不足,其他"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20cc46a652404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C8B4D1-4357-82A3-5C34-85E212AFA472}">
            <x14:dataBar gradient="1">
              <x14:cfvo type="min"/>
              <x14:cfvo type="max"/>
              <x14:fillColor rgb="FF168C76"/>
            </x14:dataBar>
          </x14:cfRule>
          <xm:sqref>N6:O245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2" hidden="0" customWidth="1"/>
    <x:col min="5" max="5" width="15" hidden="0" customWidth="1"/>
    <x:col min="6" max="6" width="28" hidden="0" customWidth="1"/>
    <x:col min="7" max="7" width="28" hidden="0" customWidth="1"/>
    <x:col min="8" max="8" width="16" hidden="0" customWidth="1"/>
    <x:col min="9" max="9" width="12" hidden="0" customWidth="1"/>
    <x:col min="10" max="10" width="12" hidden="0" customWidth="1"/>
    <x:col min="11" max="11" width="22" hidden="0" customWidth="1"/>
    <x:col min="12" max="12" width="34" hidden="0" customWidth="1"/>
    <x:col min="13" max="13" width="28" hidden="0" customWidth="1"/>
  </x:cols>
  <x:sheetData>
    <x:row r="1" ht="42" customHeight="1">
      <x:c r="A1" s="4" t="str">
        <x:v>访谈记录</x:v>
      </x:c>
      <x:c r="B1" s="4" t="str">
        <x:v>访谈记录</x:v>
      </x:c>
      <x:c r="C1" s="4" t="str">
        <x:v>访谈记录</x:v>
      </x:c>
      <x:c r="D1" s="4" t="str">
        <x:v>访谈记录</x:v>
      </x:c>
      <x:c r="E1" s="4" t="str">
        <x:v>访谈记录</x:v>
      </x:c>
      <x:c r="F1" s="4" t="str">
        <x:v>访谈记录</x:v>
      </x:c>
      <x:c r="G1" s="4" t="str">
        <x:v>访谈记录</x:v>
      </x:c>
      <x:c r="H1" s="4" t="str">
        <x:v>访谈记录</x:v>
      </x:c>
      <x:c r="I1" s="4" t="str">
        <x:v>访谈记录</x:v>
      </x:c>
      <x:c r="J1" s="4" t="str">
        <x:v>访谈记录</x:v>
      </x:c>
      <x:c r="K1" s="4" t="str">
        <x:v>访谈记录</x:v>
      </x:c>
      <x:c r="L1" s="4" t="str">
        <x:v>访谈记录</x:v>
      </x:c>
      <x:c r="M1" s="4" t="str">
        <x:v>访谈记录</x:v>
      </x:c>
    </x:row>
    <x:row r="2" ht="42" customHeight="1">
      <x:c r="A2" s="4" t="str">
        <x:v>访谈记录</x:v>
      </x:c>
      <x:c r="B2" s="4" t="str">
        <x:v>访谈记录</x:v>
      </x:c>
      <x:c r="C2" s="4" t="str">
        <x:v>访谈记录</x:v>
      </x:c>
      <x:c r="D2" s="4" t="str">
        <x:v>访谈记录</x:v>
      </x:c>
      <x:c r="E2" s="4" t="str">
        <x:v>访谈记录</x:v>
      </x:c>
      <x:c r="F2" s="4" t="str">
        <x:v>访谈记录</x:v>
      </x:c>
      <x:c r="G2" s="4" t="str">
        <x:v>访谈记录</x:v>
      </x:c>
      <x:c r="H2" s="4" t="str">
        <x:v>访谈记录</x:v>
      </x:c>
      <x:c r="I2" s="4" t="str">
        <x:v>访谈记录</x:v>
      </x:c>
      <x:c r="J2" s="4" t="str">
        <x:v>访谈记录</x:v>
      </x:c>
      <x:c r="K2" s="4" t="str">
        <x:v>访谈记录</x:v>
      </x:c>
      <x:c r="L2" s="4" t="str">
        <x:v>访谈记录</x:v>
      </x:c>
      <x:c r="M2" s="4" t="str">
        <x:v>访谈记录</x:v>
      </x:c>
    </x:row>
    <x:row r="3" ht="30" customHeight="1">
      <x:c r="A3" s="8" t="str">
        <x:v>至少覆盖启动前、第 2 周和结营。只记录支持产品决策的信息，不粘贴敏感个人材料。</x:v>
      </x:c>
      <x:c r="B3" s="8" t="str">
        <x:v>至少覆盖启动前、第 2 周和结营。只记录支持产品决策的信息，不粘贴敏感个人材料。</x:v>
      </x:c>
      <x:c r="C3" s="8" t="str">
        <x:v>至少覆盖启动前、第 2 周和结营。只记录支持产品决策的信息，不粘贴敏感个人材料。</x:v>
      </x:c>
      <x:c r="D3" s="8" t="str">
        <x:v>至少覆盖启动前、第 2 周和结营。只记录支持产品决策的信息，不粘贴敏感个人材料。</x:v>
      </x:c>
      <x:c r="E3" s="8" t="str">
        <x:v>至少覆盖启动前、第 2 周和结营。只记录支持产品决策的信息，不粘贴敏感个人材料。</x:v>
      </x:c>
      <x:c r="F3" s="8" t="str">
        <x:v>至少覆盖启动前、第 2 周和结营。只记录支持产品决策的信息，不粘贴敏感个人材料。</x:v>
      </x:c>
      <x:c r="G3" s="8" t="str">
        <x:v>至少覆盖启动前、第 2 周和结营。只记录支持产品决策的信息，不粘贴敏感个人材料。</x:v>
      </x:c>
      <x:c r="H3" s="8" t="str">
        <x:v>至少覆盖启动前、第 2 周和结营。只记录支持产品决策的信息，不粘贴敏感个人材料。</x:v>
      </x:c>
      <x:c r="I3" s="8" t="str">
        <x:v>至少覆盖启动前、第 2 周和结营。只记录支持产品决策的信息，不粘贴敏感个人材料。</x:v>
      </x:c>
      <x:c r="J3" s="8" t="str">
        <x:v>至少覆盖启动前、第 2 周和结营。只记录支持产品决策的信息，不粘贴敏感个人材料。</x:v>
      </x:c>
      <x:c r="K3" s="8" t="str">
        <x:v>至少覆盖启动前、第 2 周和结营。只记录支持产品决策的信息，不粘贴敏感个人材料。</x:v>
      </x:c>
      <x:c r="L3" s="8" t="str">
        <x:v>至少覆盖启动前、第 2 周和结营。只记录支持产品决策的信息，不粘贴敏感个人材料。</x:v>
      </x:c>
      <x:c r="M3" s="8" t="str">
        <x:v>至少覆盖启动前、第 2 周和结营。只记录支持产品决策的信息，不粘贴敏感个人材料。</x:v>
      </x:c>
    </x:row>
    <x:row r="5" ht="30" customHeight="1">
      <x:c r="A5" s="17" t="str">
        <x:v>学员ID</x:v>
      </x:c>
      <x:c r="B5" s="36" t="str">
        <x:v>姓名/昵称</x:v>
      </x:c>
      <x:c r="C5" s="36" t="str">
        <x:v>访谈日期</x:v>
      </x:c>
      <x:c r="D5" s="36" t="str">
        <x:v>访谈阶段</x:v>
      </x:c>
      <x:c r="E5" s="36" t="str">
        <x:v>体验评分(0-10)</x:v>
      </x:c>
      <x:c r="F5" s="36" t="str">
        <x:v>最有价值</x:v>
      </x:c>
      <x:c r="G5" s="36" t="str">
        <x:v>最大阻力</x:v>
      </x:c>
      <x:c r="H5" s="36" t="str">
        <x:v>推荐意愿(0-10)</x:v>
      </x:c>
      <x:c r="I5" s="36" t="str">
        <x:v>NPS分类</x:v>
      </x:c>
      <x:c r="J5" s="36" t="str">
        <x:v>付费意向</x:v>
      </x:c>
      <x:c r="K5" s="36" t="str">
        <x:v>合作方式</x:v>
      </x:c>
      <x:c r="L5" s="36" t="str">
        <x:v>原话摘录</x:v>
      </x:c>
      <x:c r="M5" s="18" t="str">
        <x:v>下一步</x:v>
      </x:c>
    </x:row>
    <x:row r="6">
      <x:c r="A6" s="76"/>
      <x:c r="B6" s="77" t="str">
        <x:f>IFERROR(INDEX('学员台账'!$B$6:$B$25,MATCH(A6,'学员台账'!$A$6:$A$25,0)),"")</x:f>
      </x:c>
      <x:c r="C6" s="78"/>
      <x:c r="D6" s="77"/>
      <x:c r="E6" s="77"/>
      <x:c r="F6" s="77"/>
      <x:c r="G6" s="77"/>
      <x:c r="H6" s="77"/>
      <x:c r="I6" s="77" t="str">
        <x:f>IF(H6="","",IF(H6&gt;=9,"推荐者",IF(H6&gt;=7,"中立者","贬损者")))</x:f>
      </x:c>
      <x:c r="J6" s="77"/>
      <x:c r="K6" s="77"/>
      <x:c r="L6" s="77"/>
      <x:c r="M6" s="81"/>
    </x:row>
    <x:row r="7">
      <x:c r="A7" s="82"/>
      <x:c r="B7" s="83" t="str">
        <x:f>IFERROR(INDEX('学员台账'!$B$6:$B$25,MATCH(A7,'学员台账'!$A$6:$A$25,0)),"")</x:f>
      </x:c>
      <x:c r="C7" s="84"/>
      <x:c r="D7" s="83"/>
      <x:c r="E7" s="83"/>
      <x:c r="F7" s="83"/>
      <x:c r="G7" s="83"/>
      <x:c r="H7" s="83"/>
      <x:c r="I7" s="83" t="str">
        <x:f>IF(H7="","",IF(H7&gt;=9,"推荐者",IF(H7&gt;=7,"中立者","贬损者")))</x:f>
      </x:c>
      <x:c r="J7" s="83"/>
      <x:c r="K7" s="83"/>
      <x:c r="L7" s="83"/>
      <x:c r="M7" s="87"/>
    </x:row>
    <x:row r="8">
      <x:c r="A8" s="82"/>
      <x:c r="B8" s="83" t="str">
        <x:f>IFERROR(INDEX('学员台账'!$B$6:$B$25,MATCH(A8,'学员台账'!$A$6:$A$25,0)),"")</x:f>
      </x:c>
      <x:c r="C8" s="84"/>
      <x:c r="D8" s="83"/>
      <x:c r="E8" s="83"/>
      <x:c r="F8" s="83"/>
      <x:c r="G8" s="83"/>
      <x:c r="H8" s="83"/>
      <x:c r="I8" s="83" t="str">
        <x:f>IF(H8="","",IF(H8&gt;=9,"推荐者",IF(H8&gt;=7,"中立者","贬损者")))</x:f>
      </x:c>
      <x:c r="J8" s="83"/>
      <x:c r="K8" s="83"/>
      <x:c r="L8" s="83"/>
      <x:c r="M8" s="87"/>
    </x:row>
    <x:row r="9">
      <x:c r="A9" s="82"/>
      <x:c r="B9" s="83" t="str">
        <x:f>IFERROR(INDEX('学员台账'!$B$6:$B$25,MATCH(A9,'学员台账'!$A$6:$A$25,0)),"")</x:f>
      </x:c>
      <x:c r="C9" s="84"/>
      <x:c r="D9" s="83"/>
      <x:c r="E9" s="83"/>
      <x:c r="F9" s="83"/>
      <x:c r="G9" s="83"/>
      <x:c r="H9" s="83"/>
      <x:c r="I9" s="83" t="str">
        <x:f>IF(H9="","",IF(H9&gt;=9,"推荐者",IF(H9&gt;=7,"中立者","贬损者")))</x:f>
      </x:c>
      <x:c r="J9" s="83"/>
      <x:c r="K9" s="83"/>
      <x:c r="L9" s="83"/>
      <x:c r="M9" s="87"/>
    </x:row>
    <x:row r="10">
      <x:c r="A10" s="82"/>
      <x:c r="B10" s="83" t="str">
        <x:f>IFERROR(INDEX('学员台账'!$B$6:$B$25,MATCH(A10,'学员台账'!$A$6:$A$25,0)),"")</x:f>
      </x:c>
      <x:c r="C10" s="84"/>
      <x:c r="D10" s="83"/>
      <x:c r="E10" s="83"/>
      <x:c r="F10" s="83"/>
      <x:c r="G10" s="83"/>
      <x:c r="H10" s="83"/>
      <x:c r="I10" s="83" t="str">
        <x:f>IF(H10="","",IF(H10&gt;=9,"推荐者",IF(H10&gt;=7,"中立者","贬损者")))</x:f>
      </x:c>
      <x:c r="J10" s="83"/>
      <x:c r="K10" s="83"/>
      <x:c r="L10" s="83"/>
      <x:c r="M10" s="87"/>
    </x:row>
    <x:row r="11">
      <x:c r="A11" s="82"/>
      <x:c r="B11" s="83" t="str">
        <x:f>IFERROR(INDEX('学员台账'!$B$6:$B$25,MATCH(A11,'学员台账'!$A$6:$A$25,0)),"")</x:f>
      </x:c>
      <x:c r="C11" s="84"/>
      <x:c r="D11" s="83"/>
      <x:c r="E11" s="83"/>
      <x:c r="F11" s="83"/>
      <x:c r="G11" s="83"/>
      <x:c r="H11" s="83"/>
      <x:c r="I11" s="83" t="str">
        <x:f>IF(H11="","",IF(H11&gt;=9,"推荐者",IF(H11&gt;=7,"中立者","贬损者")))</x:f>
      </x:c>
      <x:c r="J11" s="83"/>
      <x:c r="K11" s="83"/>
      <x:c r="L11" s="83"/>
      <x:c r="M11" s="87"/>
    </x:row>
    <x:row r="12">
      <x:c r="A12" s="82"/>
      <x:c r="B12" s="83" t="str">
        <x:f>IFERROR(INDEX('学员台账'!$B$6:$B$25,MATCH(A12,'学员台账'!$A$6:$A$25,0)),"")</x:f>
      </x:c>
      <x:c r="C12" s="84"/>
      <x:c r="D12" s="83"/>
      <x:c r="E12" s="83"/>
      <x:c r="F12" s="83"/>
      <x:c r="G12" s="83"/>
      <x:c r="H12" s="83"/>
      <x:c r="I12" s="83" t="str">
        <x:f>IF(H12="","",IF(H12&gt;=9,"推荐者",IF(H12&gt;=7,"中立者","贬损者")))</x:f>
      </x:c>
      <x:c r="J12" s="83"/>
      <x:c r="K12" s="83"/>
      <x:c r="L12" s="83"/>
      <x:c r="M12" s="87"/>
    </x:row>
    <x:row r="13">
      <x:c r="A13" s="82"/>
      <x:c r="B13" s="83" t="str">
        <x:f>IFERROR(INDEX('学员台账'!$B$6:$B$25,MATCH(A13,'学员台账'!$A$6:$A$25,0)),"")</x:f>
      </x:c>
      <x:c r="C13" s="84"/>
      <x:c r="D13" s="83"/>
      <x:c r="E13" s="83"/>
      <x:c r="F13" s="83"/>
      <x:c r="G13" s="83"/>
      <x:c r="H13" s="83"/>
      <x:c r="I13" s="83" t="str">
        <x:f>IF(H13="","",IF(H13&gt;=9,"推荐者",IF(H13&gt;=7,"中立者","贬损者")))</x:f>
      </x:c>
      <x:c r="J13" s="83"/>
      <x:c r="K13" s="83"/>
      <x:c r="L13" s="83"/>
      <x:c r="M13" s="87"/>
    </x:row>
    <x:row r="14">
      <x:c r="A14" s="82"/>
      <x:c r="B14" s="83" t="str">
        <x:f>IFERROR(INDEX('学员台账'!$B$6:$B$25,MATCH(A14,'学员台账'!$A$6:$A$25,0)),"")</x:f>
      </x:c>
      <x:c r="C14" s="84"/>
      <x:c r="D14" s="83"/>
      <x:c r="E14" s="83"/>
      <x:c r="F14" s="83"/>
      <x:c r="G14" s="83"/>
      <x:c r="H14" s="83"/>
      <x:c r="I14" s="83" t="str">
        <x:f>IF(H14="","",IF(H14&gt;=9,"推荐者",IF(H14&gt;=7,"中立者","贬损者")))</x:f>
      </x:c>
      <x:c r="J14" s="83"/>
      <x:c r="K14" s="83"/>
      <x:c r="L14" s="83"/>
      <x:c r="M14" s="87"/>
    </x:row>
    <x:row r="15">
      <x:c r="A15" s="82"/>
      <x:c r="B15" s="83" t="str">
        <x:f>IFERROR(INDEX('学员台账'!$B$6:$B$25,MATCH(A15,'学员台账'!$A$6:$A$25,0)),"")</x:f>
      </x:c>
      <x:c r="C15" s="84"/>
      <x:c r="D15" s="83"/>
      <x:c r="E15" s="83"/>
      <x:c r="F15" s="83"/>
      <x:c r="G15" s="83"/>
      <x:c r="H15" s="83"/>
      <x:c r="I15" s="83" t="str">
        <x:f>IF(H15="","",IF(H15&gt;=9,"推荐者",IF(H15&gt;=7,"中立者","贬损者")))</x:f>
      </x:c>
      <x:c r="J15" s="83"/>
      <x:c r="K15" s="83"/>
      <x:c r="L15" s="83"/>
      <x:c r="M15" s="87"/>
    </x:row>
    <x:row r="16">
      <x:c r="A16" s="82"/>
      <x:c r="B16" s="83" t="str">
        <x:f>IFERROR(INDEX('学员台账'!$B$6:$B$25,MATCH(A16,'学员台账'!$A$6:$A$25,0)),"")</x:f>
      </x:c>
      <x:c r="C16" s="84"/>
      <x:c r="D16" s="83"/>
      <x:c r="E16" s="83"/>
      <x:c r="F16" s="83"/>
      <x:c r="G16" s="83"/>
      <x:c r="H16" s="83"/>
      <x:c r="I16" s="83" t="str">
        <x:f>IF(H16="","",IF(H16&gt;=9,"推荐者",IF(H16&gt;=7,"中立者","贬损者")))</x:f>
      </x:c>
      <x:c r="J16" s="83"/>
      <x:c r="K16" s="83"/>
      <x:c r="L16" s="83"/>
      <x:c r="M16" s="87"/>
    </x:row>
    <x:row r="17">
      <x:c r="A17" s="82"/>
      <x:c r="B17" s="83" t="str">
        <x:f>IFERROR(INDEX('学员台账'!$B$6:$B$25,MATCH(A17,'学员台账'!$A$6:$A$25,0)),"")</x:f>
      </x:c>
      <x:c r="C17" s="84"/>
      <x:c r="D17" s="83"/>
      <x:c r="E17" s="83"/>
      <x:c r="F17" s="83"/>
      <x:c r="G17" s="83"/>
      <x:c r="H17" s="83"/>
      <x:c r="I17" s="83" t="str">
        <x:f>IF(H17="","",IF(H17&gt;=9,"推荐者",IF(H17&gt;=7,"中立者","贬损者")))</x:f>
      </x:c>
      <x:c r="J17" s="83"/>
      <x:c r="K17" s="83"/>
      <x:c r="L17" s="83"/>
      <x:c r="M17" s="87"/>
    </x:row>
    <x:row r="18">
      <x:c r="A18" s="82"/>
      <x:c r="B18" s="83" t="str">
        <x:f>IFERROR(INDEX('学员台账'!$B$6:$B$25,MATCH(A18,'学员台账'!$A$6:$A$25,0)),"")</x:f>
      </x:c>
      <x:c r="C18" s="84"/>
      <x:c r="D18" s="83"/>
      <x:c r="E18" s="83"/>
      <x:c r="F18" s="83"/>
      <x:c r="G18" s="83"/>
      <x:c r="H18" s="83"/>
      <x:c r="I18" s="83" t="str">
        <x:f>IF(H18="","",IF(H18&gt;=9,"推荐者",IF(H18&gt;=7,"中立者","贬损者")))</x:f>
      </x:c>
      <x:c r="J18" s="83"/>
      <x:c r="K18" s="83"/>
      <x:c r="L18" s="83"/>
      <x:c r="M18" s="87"/>
    </x:row>
    <x:row r="19">
      <x:c r="A19" s="82"/>
      <x:c r="B19" s="83" t="str">
        <x:f>IFERROR(INDEX('学员台账'!$B$6:$B$25,MATCH(A19,'学员台账'!$A$6:$A$25,0)),"")</x:f>
      </x:c>
      <x:c r="C19" s="84"/>
      <x:c r="D19" s="83"/>
      <x:c r="E19" s="83"/>
      <x:c r="F19" s="83"/>
      <x:c r="G19" s="83"/>
      <x:c r="H19" s="83"/>
      <x:c r="I19" s="83" t="str">
        <x:f>IF(H19="","",IF(H19&gt;=9,"推荐者",IF(H19&gt;=7,"中立者","贬损者")))</x:f>
      </x:c>
      <x:c r="J19" s="83"/>
      <x:c r="K19" s="83"/>
      <x:c r="L19" s="83"/>
      <x:c r="M19" s="87"/>
    </x:row>
    <x:row r="20">
      <x:c r="A20" s="82"/>
      <x:c r="B20" s="83" t="str">
        <x:f>IFERROR(INDEX('学员台账'!$B$6:$B$25,MATCH(A20,'学员台账'!$A$6:$A$25,0)),"")</x:f>
      </x:c>
      <x:c r="C20" s="84"/>
      <x:c r="D20" s="83"/>
      <x:c r="E20" s="83"/>
      <x:c r="F20" s="83"/>
      <x:c r="G20" s="83"/>
      <x:c r="H20" s="83"/>
      <x:c r="I20" s="83" t="str">
        <x:f>IF(H20="","",IF(H20&gt;=9,"推荐者",IF(H20&gt;=7,"中立者","贬损者")))</x:f>
      </x:c>
      <x:c r="J20" s="83"/>
      <x:c r="K20" s="83"/>
      <x:c r="L20" s="83"/>
      <x:c r="M20" s="87"/>
    </x:row>
    <x:row r="21">
      <x:c r="A21" s="82"/>
      <x:c r="B21" s="83" t="str">
        <x:f>IFERROR(INDEX('学员台账'!$B$6:$B$25,MATCH(A21,'学员台账'!$A$6:$A$25,0)),"")</x:f>
      </x:c>
      <x:c r="C21" s="84"/>
      <x:c r="D21" s="83"/>
      <x:c r="E21" s="83"/>
      <x:c r="F21" s="83"/>
      <x:c r="G21" s="83"/>
      <x:c r="H21" s="83"/>
      <x:c r="I21" s="83" t="str">
        <x:f>IF(H21="","",IF(H21&gt;=9,"推荐者",IF(H21&gt;=7,"中立者","贬损者")))</x:f>
      </x:c>
      <x:c r="J21" s="83"/>
      <x:c r="K21" s="83"/>
      <x:c r="L21" s="83"/>
      <x:c r="M21" s="87"/>
    </x:row>
    <x:row r="22">
      <x:c r="A22" s="82"/>
      <x:c r="B22" s="83" t="str">
        <x:f>IFERROR(INDEX('学员台账'!$B$6:$B$25,MATCH(A22,'学员台账'!$A$6:$A$25,0)),"")</x:f>
      </x:c>
      <x:c r="C22" s="84"/>
      <x:c r="D22" s="83"/>
      <x:c r="E22" s="83"/>
      <x:c r="F22" s="83"/>
      <x:c r="G22" s="83"/>
      <x:c r="H22" s="83"/>
      <x:c r="I22" s="83" t="str">
        <x:f>IF(H22="","",IF(H22&gt;=9,"推荐者",IF(H22&gt;=7,"中立者","贬损者")))</x:f>
      </x:c>
      <x:c r="J22" s="83"/>
      <x:c r="K22" s="83"/>
      <x:c r="L22" s="83"/>
      <x:c r="M22" s="87"/>
    </x:row>
    <x:row r="23">
      <x:c r="A23" s="82"/>
      <x:c r="B23" s="83" t="str">
        <x:f>IFERROR(INDEX('学员台账'!$B$6:$B$25,MATCH(A23,'学员台账'!$A$6:$A$25,0)),"")</x:f>
      </x:c>
      <x:c r="C23" s="84"/>
      <x:c r="D23" s="83"/>
      <x:c r="E23" s="83"/>
      <x:c r="F23" s="83"/>
      <x:c r="G23" s="83"/>
      <x:c r="H23" s="83"/>
      <x:c r="I23" s="83" t="str">
        <x:f>IF(H23="","",IF(H23&gt;=9,"推荐者",IF(H23&gt;=7,"中立者","贬损者")))</x:f>
      </x:c>
      <x:c r="J23" s="83"/>
      <x:c r="K23" s="83"/>
      <x:c r="L23" s="83"/>
      <x:c r="M23" s="87"/>
    </x:row>
    <x:row r="24">
      <x:c r="A24" s="82"/>
      <x:c r="B24" s="83" t="str">
        <x:f>IFERROR(INDEX('学员台账'!$B$6:$B$25,MATCH(A24,'学员台账'!$A$6:$A$25,0)),"")</x:f>
      </x:c>
      <x:c r="C24" s="84"/>
      <x:c r="D24" s="83"/>
      <x:c r="E24" s="83"/>
      <x:c r="F24" s="83"/>
      <x:c r="G24" s="83"/>
      <x:c r="H24" s="83"/>
      <x:c r="I24" s="83" t="str">
        <x:f>IF(H24="","",IF(H24&gt;=9,"推荐者",IF(H24&gt;=7,"中立者","贬损者")))</x:f>
      </x:c>
      <x:c r="J24" s="83"/>
      <x:c r="K24" s="83"/>
      <x:c r="L24" s="83"/>
      <x:c r="M24" s="87"/>
    </x:row>
    <x:row r="25">
      <x:c r="A25" s="82"/>
      <x:c r="B25" s="83" t="str">
        <x:f>IFERROR(INDEX('学员台账'!$B$6:$B$25,MATCH(A25,'学员台账'!$A$6:$A$25,0)),"")</x:f>
      </x:c>
      <x:c r="C25" s="84"/>
      <x:c r="D25" s="83"/>
      <x:c r="E25" s="83"/>
      <x:c r="F25" s="83"/>
      <x:c r="G25" s="83"/>
      <x:c r="H25" s="83"/>
      <x:c r="I25" s="83" t="str">
        <x:f>IF(H25="","",IF(H25&gt;=9,"推荐者",IF(H25&gt;=7,"中立者","贬损者")))</x:f>
      </x:c>
      <x:c r="J25" s="83"/>
      <x:c r="K25" s="83"/>
      <x:c r="L25" s="83"/>
      <x:c r="M25" s="87"/>
    </x:row>
    <x:row r="26">
      <x:c r="A26" s="82"/>
      <x:c r="B26" s="83" t="str">
        <x:f>IFERROR(INDEX('学员台账'!$B$6:$B$25,MATCH(A26,'学员台账'!$A$6:$A$25,0)),"")</x:f>
      </x:c>
      <x:c r="C26" s="84"/>
      <x:c r="D26" s="83"/>
      <x:c r="E26" s="83"/>
      <x:c r="F26" s="83"/>
      <x:c r="G26" s="83"/>
      <x:c r="H26" s="83"/>
      <x:c r="I26" s="83" t="str">
        <x:f>IF(H26="","",IF(H26&gt;=9,"推荐者",IF(H26&gt;=7,"中立者","贬损者")))</x:f>
      </x:c>
      <x:c r="J26" s="83"/>
      <x:c r="K26" s="83"/>
      <x:c r="L26" s="83"/>
      <x:c r="M26" s="87"/>
    </x:row>
    <x:row r="27">
      <x:c r="A27" s="82"/>
      <x:c r="B27" s="83" t="str">
        <x:f>IFERROR(INDEX('学员台账'!$B$6:$B$25,MATCH(A27,'学员台账'!$A$6:$A$25,0)),"")</x:f>
      </x:c>
      <x:c r="C27" s="84"/>
      <x:c r="D27" s="83"/>
      <x:c r="E27" s="83"/>
      <x:c r="F27" s="83"/>
      <x:c r="G27" s="83"/>
      <x:c r="H27" s="83"/>
      <x:c r="I27" s="83" t="str">
        <x:f>IF(H27="","",IF(H27&gt;=9,"推荐者",IF(H27&gt;=7,"中立者","贬损者")))</x:f>
      </x:c>
      <x:c r="J27" s="83"/>
      <x:c r="K27" s="83"/>
      <x:c r="L27" s="83"/>
      <x:c r="M27" s="87"/>
    </x:row>
    <x:row r="28">
      <x:c r="A28" s="82"/>
      <x:c r="B28" s="83" t="str">
        <x:f>IFERROR(INDEX('学员台账'!$B$6:$B$25,MATCH(A28,'学员台账'!$A$6:$A$25,0)),"")</x:f>
      </x:c>
      <x:c r="C28" s="84"/>
      <x:c r="D28" s="83"/>
      <x:c r="E28" s="83"/>
      <x:c r="F28" s="83"/>
      <x:c r="G28" s="83"/>
      <x:c r="H28" s="83"/>
      <x:c r="I28" s="83" t="str">
        <x:f>IF(H28="","",IF(H28&gt;=9,"推荐者",IF(H28&gt;=7,"中立者","贬损者")))</x:f>
      </x:c>
      <x:c r="J28" s="83"/>
      <x:c r="K28" s="83"/>
      <x:c r="L28" s="83"/>
      <x:c r="M28" s="87"/>
    </x:row>
    <x:row r="29">
      <x:c r="A29" s="82"/>
      <x:c r="B29" s="83" t="str">
        <x:f>IFERROR(INDEX('学员台账'!$B$6:$B$25,MATCH(A29,'学员台账'!$A$6:$A$25,0)),"")</x:f>
      </x:c>
      <x:c r="C29" s="84"/>
      <x:c r="D29" s="83"/>
      <x:c r="E29" s="83"/>
      <x:c r="F29" s="83"/>
      <x:c r="G29" s="83"/>
      <x:c r="H29" s="83"/>
      <x:c r="I29" s="83" t="str">
        <x:f>IF(H29="","",IF(H29&gt;=9,"推荐者",IF(H29&gt;=7,"中立者","贬损者")))</x:f>
      </x:c>
      <x:c r="J29" s="83"/>
      <x:c r="K29" s="83"/>
      <x:c r="L29" s="83"/>
      <x:c r="M29" s="87"/>
    </x:row>
    <x:row r="30">
      <x:c r="A30" s="82"/>
      <x:c r="B30" s="83" t="str">
        <x:f>IFERROR(INDEX('学员台账'!$B$6:$B$25,MATCH(A30,'学员台账'!$A$6:$A$25,0)),"")</x:f>
      </x:c>
      <x:c r="C30" s="84"/>
      <x:c r="D30" s="83"/>
      <x:c r="E30" s="83"/>
      <x:c r="F30" s="83"/>
      <x:c r="G30" s="83"/>
      <x:c r="H30" s="83"/>
      <x:c r="I30" s="83" t="str">
        <x:f>IF(H30="","",IF(H30&gt;=9,"推荐者",IF(H30&gt;=7,"中立者","贬损者")))</x:f>
      </x:c>
      <x:c r="J30" s="83"/>
      <x:c r="K30" s="83"/>
      <x:c r="L30" s="83"/>
      <x:c r="M30" s="87"/>
    </x:row>
    <x:row r="31">
      <x:c r="A31" s="82"/>
      <x:c r="B31" s="83" t="str">
        <x:f>IFERROR(INDEX('学员台账'!$B$6:$B$25,MATCH(A31,'学员台账'!$A$6:$A$25,0)),"")</x:f>
      </x:c>
      <x:c r="C31" s="84"/>
      <x:c r="D31" s="83"/>
      <x:c r="E31" s="83"/>
      <x:c r="F31" s="83"/>
      <x:c r="G31" s="83"/>
      <x:c r="H31" s="83"/>
      <x:c r="I31" s="83" t="str">
        <x:f>IF(H31="","",IF(H31&gt;=9,"推荐者",IF(H31&gt;=7,"中立者","贬损者")))</x:f>
      </x:c>
      <x:c r="J31" s="83"/>
      <x:c r="K31" s="83"/>
      <x:c r="L31" s="83"/>
      <x:c r="M31" s="87"/>
    </x:row>
    <x:row r="32">
      <x:c r="A32" s="82"/>
      <x:c r="B32" s="83" t="str">
        <x:f>IFERROR(INDEX('学员台账'!$B$6:$B$25,MATCH(A32,'学员台账'!$A$6:$A$25,0)),"")</x:f>
      </x:c>
      <x:c r="C32" s="84"/>
      <x:c r="D32" s="83"/>
      <x:c r="E32" s="83"/>
      <x:c r="F32" s="83"/>
      <x:c r="G32" s="83"/>
      <x:c r="H32" s="83"/>
      <x:c r="I32" s="83" t="str">
        <x:f>IF(H32="","",IF(H32&gt;=9,"推荐者",IF(H32&gt;=7,"中立者","贬损者")))</x:f>
      </x:c>
      <x:c r="J32" s="83"/>
      <x:c r="K32" s="83"/>
      <x:c r="L32" s="83"/>
      <x:c r="M32" s="87"/>
    </x:row>
    <x:row r="33">
      <x:c r="A33" s="82"/>
      <x:c r="B33" s="83" t="str">
        <x:f>IFERROR(INDEX('学员台账'!$B$6:$B$25,MATCH(A33,'学员台账'!$A$6:$A$25,0)),"")</x:f>
      </x:c>
      <x:c r="C33" s="84"/>
      <x:c r="D33" s="83"/>
      <x:c r="E33" s="83"/>
      <x:c r="F33" s="83"/>
      <x:c r="G33" s="83"/>
      <x:c r="H33" s="83"/>
      <x:c r="I33" s="83" t="str">
        <x:f>IF(H33="","",IF(H33&gt;=9,"推荐者",IF(H33&gt;=7,"中立者","贬损者")))</x:f>
      </x:c>
      <x:c r="J33" s="83"/>
      <x:c r="K33" s="83"/>
      <x:c r="L33" s="83"/>
      <x:c r="M33" s="87"/>
    </x:row>
    <x:row r="34">
      <x:c r="A34" s="82"/>
      <x:c r="B34" s="83" t="str">
        <x:f>IFERROR(INDEX('学员台账'!$B$6:$B$25,MATCH(A34,'学员台账'!$A$6:$A$25,0)),"")</x:f>
      </x:c>
      <x:c r="C34" s="84"/>
      <x:c r="D34" s="83"/>
      <x:c r="E34" s="83"/>
      <x:c r="F34" s="83"/>
      <x:c r="G34" s="83"/>
      <x:c r="H34" s="83"/>
      <x:c r="I34" s="83" t="str">
        <x:f>IF(H34="","",IF(H34&gt;=9,"推荐者",IF(H34&gt;=7,"中立者","贬损者")))</x:f>
      </x:c>
      <x:c r="J34" s="83"/>
      <x:c r="K34" s="83"/>
      <x:c r="L34" s="83"/>
      <x:c r="M34" s="87"/>
    </x:row>
    <x:row r="35">
      <x:c r="A35" s="82"/>
      <x:c r="B35" s="83" t="str">
        <x:f>IFERROR(INDEX('学员台账'!$B$6:$B$25,MATCH(A35,'学员台账'!$A$6:$A$25,0)),"")</x:f>
      </x:c>
      <x:c r="C35" s="84"/>
      <x:c r="D35" s="83"/>
      <x:c r="E35" s="83"/>
      <x:c r="F35" s="83"/>
      <x:c r="G35" s="83"/>
      <x:c r="H35" s="83"/>
      <x:c r="I35" s="83" t="str">
        <x:f>IF(H35="","",IF(H35&gt;=9,"推荐者",IF(H35&gt;=7,"中立者","贬损者")))</x:f>
      </x:c>
      <x:c r="J35" s="83"/>
      <x:c r="K35" s="83"/>
      <x:c r="L35" s="83"/>
      <x:c r="M35" s="87"/>
    </x:row>
    <x:row r="36">
      <x:c r="A36" s="82"/>
      <x:c r="B36" s="83" t="str">
        <x:f>IFERROR(INDEX('学员台账'!$B$6:$B$25,MATCH(A36,'学员台账'!$A$6:$A$25,0)),"")</x:f>
      </x:c>
      <x:c r="C36" s="84"/>
      <x:c r="D36" s="83"/>
      <x:c r="E36" s="83"/>
      <x:c r="F36" s="83"/>
      <x:c r="G36" s="83"/>
      <x:c r="H36" s="83"/>
      <x:c r="I36" s="83" t="str">
        <x:f>IF(H36="","",IF(H36&gt;=9,"推荐者",IF(H36&gt;=7,"中立者","贬损者")))</x:f>
      </x:c>
      <x:c r="J36" s="83"/>
      <x:c r="K36" s="83"/>
      <x:c r="L36" s="83"/>
      <x:c r="M36" s="87"/>
    </x:row>
    <x:row r="37">
      <x:c r="A37" s="82"/>
      <x:c r="B37" s="83" t="str">
        <x:f>IFERROR(INDEX('学员台账'!$B$6:$B$25,MATCH(A37,'学员台账'!$A$6:$A$25,0)),"")</x:f>
      </x:c>
      <x:c r="C37" s="84"/>
      <x:c r="D37" s="83"/>
      <x:c r="E37" s="83"/>
      <x:c r="F37" s="83"/>
      <x:c r="G37" s="83"/>
      <x:c r="H37" s="83"/>
      <x:c r="I37" s="83" t="str">
        <x:f>IF(H37="","",IF(H37&gt;=9,"推荐者",IF(H37&gt;=7,"中立者","贬损者")))</x:f>
      </x:c>
      <x:c r="J37" s="83"/>
      <x:c r="K37" s="83"/>
      <x:c r="L37" s="83"/>
      <x:c r="M37" s="87"/>
    </x:row>
    <x:row r="38">
      <x:c r="A38" s="82"/>
      <x:c r="B38" s="83" t="str">
        <x:f>IFERROR(INDEX('学员台账'!$B$6:$B$25,MATCH(A38,'学员台账'!$A$6:$A$25,0)),"")</x:f>
      </x:c>
      <x:c r="C38" s="84"/>
      <x:c r="D38" s="83"/>
      <x:c r="E38" s="83"/>
      <x:c r="F38" s="83"/>
      <x:c r="G38" s="83"/>
      <x:c r="H38" s="83"/>
      <x:c r="I38" s="83" t="str">
        <x:f>IF(H38="","",IF(H38&gt;=9,"推荐者",IF(H38&gt;=7,"中立者","贬损者")))</x:f>
      </x:c>
      <x:c r="J38" s="83"/>
      <x:c r="K38" s="83"/>
      <x:c r="L38" s="83"/>
      <x:c r="M38" s="87"/>
    </x:row>
    <x:row r="39">
      <x:c r="A39" s="82"/>
      <x:c r="B39" s="83" t="str">
        <x:f>IFERROR(INDEX('学员台账'!$B$6:$B$25,MATCH(A39,'学员台账'!$A$6:$A$25,0)),"")</x:f>
      </x:c>
      <x:c r="C39" s="84"/>
      <x:c r="D39" s="83"/>
      <x:c r="E39" s="83"/>
      <x:c r="F39" s="83"/>
      <x:c r="G39" s="83"/>
      <x:c r="H39" s="83"/>
      <x:c r="I39" s="83" t="str">
        <x:f>IF(H39="","",IF(H39&gt;=9,"推荐者",IF(H39&gt;=7,"中立者","贬损者")))</x:f>
      </x:c>
      <x:c r="J39" s="83"/>
      <x:c r="K39" s="83"/>
      <x:c r="L39" s="83"/>
      <x:c r="M39" s="87"/>
    </x:row>
    <x:row r="40">
      <x:c r="A40" s="82"/>
      <x:c r="B40" s="83" t="str">
        <x:f>IFERROR(INDEX('学员台账'!$B$6:$B$25,MATCH(A40,'学员台账'!$A$6:$A$25,0)),"")</x:f>
      </x:c>
      <x:c r="C40" s="84"/>
      <x:c r="D40" s="83"/>
      <x:c r="E40" s="83"/>
      <x:c r="F40" s="83"/>
      <x:c r="G40" s="83"/>
      <x:c r="H40" s="83"/>
      <x:c r="I40" s="83" t="str">
        <x:f>IF(H40="","",IF(H40&gt;=9,"推荐者",IF(H40&gt;=7,"中立者","贬损者")))</x:f>
      </x:c>
      <x:c r="J40" s="83"/>
      <x:c r="K40" s="83"/>
      <x:c r="L40" s="83"/>
      <x:c r="M40" s="87"/>
    </x:row>
    <x:row r="41">
      <x:c r="A41" s="82"/>
      <x:c r="B41" s="83" t="str">
        <x:f>IFERROR(INDEX('学员台账'!$B$6:$B$25,MATCH(A41,'学员台账'!$A$6:$A$25,0)),"")</x:f>
      </x:c>
      <x:c r="C41" s="84"/>
      <x:c r="D41" s="83"/>
      <x:c r="E41" s="83"/>
      <x:c r="F41" s="83"/>
      <x:c r="G41" s="83"/>
      <x:c r="H41" s="83"/>
      <x:c r="I41" s="83" t="str">
        <x:f>IF(H41="","",IF(H41&gt;=9,"推荐者",IF(H41&gt;=7,"中立者","贬损者")))</x:f>
      </x:c>
      <x:c r="J41" s="83"/>
      <x:c r="K41" s="83"/>
      <x:c r="L41" s="83"/>
      <x:c r="M41" s="87"/>
    </x:row>
    <x:row r="42">
      <x:c r="A42" s="82"/>
      <x:c r="B42" s="83" t="str">
        <x:f>IFERROR(INDEX('学员台账'!$B$6:$B$25,MATCH(A42,'学员台账'!$A$6:$A$25,0)),"")</x:f>
      </x:c>
      <x:c r="C42" s="84"/>
      <x:c r="D42" s="83"/>
      <x:c r="E42" s="83"/>
      <x:c r="F42" s="83"/>
      <x:c r="G42" s="83"/>
      <x:c r="H42" s="83"/>
      <x:c r="I42" s="83" t="str">
        <x:f>IF(H42="","",IF(H42&gt;=9,"推荐者",IF(H42&gt;=7,"中立者","贬损者")))</x:f>
      </x:c>
      <x:c r="J42" s="83"/>
      <x:c r="K42" s="83"/>
      <x:c r="L42" s="83"/>
      <x:c r="M42" s="87"/>
    </x:row>
    <x:row r="43">
      <x:c r="A43" s="82"/>
      <x:c r="B43" s="83" t="str">
        <x:f>IFERROR(INDEX('学员台账'!$B$6:$B$25,MATCH(A43,'学员台账'!$A$6:$A$25,0)),"")</x:f>
      </x:c>
      <x:c r="C43" s="84"/>
      <x:c r="D43" s="83"/>
      <x:c r="E43" s="83"/>
      <x:c r="F43" s="83"/>
      <x:c r="G43" s="83"/>
      <x:c r="H43" s="83"/>
      <x:c r="I43" s="83" t="str">
        <x:f>IF(H43="","",IF(H43&gt;=9,"推荐者",IF(H43&gt;=7,"中立者","贬损者")))</x:f>
      </x:c>
      <x:c r="J43" s="83"/>
      <x:c r="K43" s="83"/>
      <x:c r="L43" s="83"/>
      <x:c r="M43" s="87"/>
    </x:row>
    <x:row r="44">
      <x:c r="A44" s="82"/>
      <x:c r="B44" s="83" t="str">
        <x:f>IFERROR(INDEX('学员台账'!$B$6:$B$25,MATCH(A44,'学员台账'!$A$6:$A$25,0)),"")</x:f>
      </x:c>
      <x:c r="C44" s="84"/>
      <x:c r="D44" s="83"/>
      <x:c r="E44" s="83"/>
      <x:c r="F44" s="83"/>
      <x:c r="G44" s="83"/>
      <x:c r="H44" s="83"/>
      <x:c r="I44" s="83" t="str">
        <x:f>IF(H44="","",IF(H44&gt;=9,"推荐者",IF(H44&gt;=7,"中立者","贬损者")))</x:f>
      </x:c>
      <x:c r="J44" s="83"/>
      <x:c r="K44" s="83"/>
      <x:c r="L44" s="83"/>
      <x:c r="M44" s="87"/>
    </x:row>
    <x:row r="45">
      <x:c r="A45" s="82"/>
      <x:c r="B45" s="83" t="str">
        <x:f>IFERROR(INDEX('学员台账'!$B$6:$B$25,MATCH(A45,'学员台账'!$A$6:$A$25,0)),"")</x:f>
      </x:c>
      <x:c r="C45" s="84"/>
      <x:c r="D45" s="83"/>
      <x:c r="E45" s="83"/>
      <x:c r="F45" s="83"/>
      <x:c r="G45" s="83"/>
      <x:c r="H45" s="83"/>
      <x:c r="I45" s="83" t="str">
        <x:f>IF(H45="","",IF(H45&gt;=9,"推荐者",IF(H45&gt;=7,"中立者","贬损者")))</x:f>
      </x:c>
      <x:c r="J45" s="83"/>
      <x:c r="K45" s="83"/>
      <x:c r="L45" s="83"/>
      <x:c r="M45" s="87"/>
    </x:row>
    <x:row r="46">
      <x:c r="A46" s="82"/>
      <x:c r="B46" s="83" t="str">
        <x:f>IFERROR(INDEX('学员台账'!$B$6:$B$25,MATCH(A46,'学员台账'!$A$6:$A$25,0)),"")</x:f>
      </x:c>
      <x:c r="C46" s="84"/>
      <x:c r="D46" s="83"/>
      <x:c r="E46" s="83"/>
      <x:c r="F46" s="83"/>
      <x:c r="G46" s="83"/>
      <x:c r="H46" s="83"/>
      <x:c r="I46" s="83" t="str">
        <x:f>IF(H46="","",IF(H46&gt;=9,"推荐者",IF(H46&gt;=7,"中立者","贬损者")))</x:f>
      </x:c>
      <x:c r="J46" s="83"/>
      <x:c r="K46" s="83"/>
      <x:c r="L46" s="83"/>
      <x:c r="M46" s="87"/>
    </x:row>
    <x:row r="47">
      <x:c r="A47" s="82"/>
      <x:c r="B47" s="83" t="str">
        <x:f>IFERROR(INDEX('学员台账'!$B$6:$B$25,MATCH(A47,'学员台账'!$A$6:$A$25,0)),"")</x:f>
      </x:c>
      <x:c r="C47" s="84"/>
      <x:c r="D47" s="83"/>
      <x:c r="E47" s="83"/>
      <x:c r="F47" s="83"/>
      <x:c r="G47" s="83"/>
      <x:c r="H47" s="83"/>
      <x:c r="I47" s="83" t="str">
        <x:f>IF(H47="","",IF(H47&gt;=9,"推荐者",IF(H47&gt;=7,"中立者","贬损者")))</x:f>
      </x:c>
      <x:c r="J47" s="83"/>
      <x:c r="K47" s="83"/>
      <x:c r="L47" s="83"/>
      <x:c r="M47" s="87"/>
    </x:row>
    <x:row r="48">
      <x:c r="A48" s="82"/>
      <x:c r="B48" s="83" t="str">
        <x:f>IFERROR(INDEX('学员台账'!$B$6:$B$25,MATCH(A48,'学员台账'!$A$6:$A$25,0)),"")</x:f>
      </x:c>
      <x:c r="C48" s="84"/>
      <x:c r="D48" s="83"/>
      <x:c r="E48" s="83"/>
      <x:c r="F48" s="83"/>
      <x:c r="G48" s="83"/>
      <x:c r="H48" s="83"/>
      <x:c r="I48" s="83" t="str">
        <x:f>IF(H48="","",IF(H48&gt;=9,"推荐者",IF(H48&gt;=7,"中立者","贬损者")))</x:f>
      </x:c>
      <x:c r="J48" s="83"/>
      <x:c r="K48" s="83"/>
      <x:c r="L48" s="83"/>
      <x:c r="M48" s="87"/>
    </x:row>
    <x:row r="49">
      <x:c r="A49" s="82"/>
      <x:c r="B49" s="83" t="str">
        <x:f>IFERROR(INDEX('学员台账'!$B$6:$B$25,MATCH(A49,'学员台账'!$A$6:$A$25,0)),"")</x:f>
      </x:c>
      <x:c r="C49" s="84"/>
      <x:c r="D49" s="83"/>
      <x:c r="E49" s="83"/>
      <x:c r="F49" s="83"/>
      <x:c r="G49" s="83"/>
      <x:c r="H49" s="83"/>
      <x:c r="I49" s="83" t="str">
        <x:f>IF(H49="","",IF(H49&gt;=9,"推荐者",IF(H49&gt;=7,"中立者","贬损者")))</x:f>
      </x:c>
      <x:c r="J49" s="83"/>
      <x:c r="K49" s="83"/>
      <x:c r="L49" s="83"/>
      <x:c r="M49" s="87"/>
    </x:row>
    <x:row r="50">
      <x:c r="A50" s="82"/>
      <x:c r="B50" s="83" t="str">
        <x:f>IFERROR(INDEX('学员台账'!$B$6:$B$25,MATCH(A50,'学员台账'!$A$6:$A$25,0)),"")</x:f>
      </x:c>
      <x:c r="C50" s="84"/>
      <x:c r="D50" s="83"/>
      <x:c r="E50" s="83"/>
      <x:c r="F50" s="83"/>
      <x:c r="G50" s="83"/>
      <x:c r="H50" s="83"/>
      <x:c r="I50" s="83" t="str">
        <x:f>IF(H50="","",IF(H50&gt;=9,"推荐者",IF(H50&gt;=7,"中立者","贬损者")))</x:f>
      </x:c>
      <x:c r="J50" s="83"/>
      <x:c r="K50" s="83"/>
      <x:c r="L50" s="83"/>
      <x:c r="M50" s="87"/>
    </x:row>
    <x:row r="51">
      <x:c r="A51" s="82"/>
      <x:c r="B51" s="83" t="str">
        <x:f>IFERROR(INDEX('学员台账'!$B$6:$B$25,MATCH(A51,'学员台账'!$A$6:$A$25,0)),"")</x:f>
      </x:c>
      <x:c r="C51" s="84"/>
      <x:c r="D51" s="83"/>
      <x:c r="E51" s="83"/>
      <x:c r="F51" s="83"/>
      <x:c r="G51" s="83"/>
      <x:c r="H51" s="83"/>
      <x:c r="I51" s="83" t="str">
        <x:f>IF(H51="","",IF(H51&gt;=9,"推荐者",IF(H51&gt;=7,"中立者","贬损者")))</x:f>
      </x:c>
      <x:c r="J51" s="83"/>
      <x:c r="K51" s="83"/>
      <x:c r="L51" s="83"/>
      <x:c r="M51" s="87"/>
    </x:row>
    <x:row r="52">
      <x:c r="A52" s="82"/>
      <x:c r="B52" s="83" t="str">
        <x:f>IFERROR(INDEX('学员台账'!$B$6:$B$25,MATCH(A52,'学员台账'!$A$6:$A$25,0)),"")</x:f>
      </x:c>
      <x:c r="C52" s="84"/>
      <x:c r="D52" s="83"/>
      <x:c r="E52" s="83"/>
      <x:c r="F52" s="83"/>
      <x:c r="G52" s="83"/>
      <x:c r="H52" s="83"/>
      <x:c r="I52" s="83" t="str">
        <x:f>IF(H52="","",IF(H52&gt;=9,"推荐者",IF(H52&gt;=7,"中立者","贬损者")))</x:f>
      </x:c>
      <x:c r="J52" s="83"/>
      <x:c r="K52" s="83"/>
      <x:c r="L52" s="83"/>
      <x:c r="M52" s="87"/>
    </x:row>
    <x:row r="53">
      <x:c r="A53" s="82"/>
      <x:c r="B53" s="83" t="str">
        <x:f>IFERROR(INDEX('学员台账'!$B$6:$B$25,MATCH(A53,'学员台账'!$A$6:$A$25,0)),"")</x:f>
      </x:c>
      <x:c r="C53" s="84"/>
      <x:c r="D53" s="83"/>
      <x:c r="E53" s="83"/>
      <x:c r="F53" s="83"/>
      <x:c r="G53" s="83"/>
      <x:c r="H53" s="83"/>
      <x:c r="I53" s="83" t="str">
        <x:f>IF(H53="","",IF(H53&gt;=9,"推荐者",IF(H53&gt;=7,"中立者","贬损者")))</x:f>
      </x:c>
      <x:c r="J53" s="83"/>
      <x:c r="K53" s="83"/>
      <x:c r="L53" s="83"/>
      <x:c r="M53" s="87"/>
    </x:row>
    <x:row r="54">
      <x:c r="A54" s="82"/>
      <x:c r="B54" s="83" t="str">
        <x:f>IFERROR(INDEX('学员台账'!$B$6:$B$25,MATCH(A54,'学员台账'!$A$6:$A$25,0)),"")</x:f>
      </x:c>
      <x:c r="C54" s="84"/>
      <x:c r="D54" s="83"/>
      <x:c r="E54" s="83"/>
      <x:c r="F54" s="83"/>
      <x:c r="G54" s="83"/>
      <x:c r="H54" s="83"/>
      <x:c r="I54" s="83" t="str">
        <x:f>IF(H54="","",IF(H54&gt;=9,"推荐者",IF(H54&gt;=7,"中立者","贬损者")))</x:f>
      </x:c>
      <x:c r="J54" s="83"/>
      <x:c r="K54" s="83"/>
      <x:c r="L54" s="83"/>
      <x:c r="M54" s="87"/>
    </x:row>
    <x:row r="55">
      <x:c r="A55" s="82"/>
      <x:c r="B55" s="83" t="str">
        <x:f>IFERROR(INDEX('学员台账'!$B$6:$B$25,MATCH(A55,'学员台账'!$A$6:$A$25,0)),"")</x:f>
      </x:c>
      <x:c r="C55" s="84"/>
      <x:c r="D55" s="83"/>
      <x:c r="E55" s="83"/>
      <x:c r="F55" s="83"/>
      <x:c r="G55" s="83"/>
      <x:c r="H55" s="83"/>
      <x:c r="I55" s="83" t="str">
        <x:f>IF(H55="","",IF(H55&gt;=9,"推荐者",IF(H55&gt;=7,"中立者","贬损者")))</x:f>
      </x:c>
      <x:c r="J55" s="83"/>
      <x:c r="K55" s="83"/>
      <x:c r="L55" s="83"/>
      <x:c r="M55" s="87"/>
    </x:row>
    <x:row r="56">
      <x:c r="A56" s="82"/>
      <x:c r="B56" s="83" t="str">
        <x:f>IFERROR(INDEX('学员台账'!$B$6:$B$25,MATCH(A56,'学员台账'!$A$6:$A$25,0)),"")</x:f>
      </x:c>
      <x:c r="C56" s="84"/>
      <x:c r="D56" s="83"/>
      <x:c r="E56" s="83"/>
      <x:c r="F56" s="83"/>
      <x:c r="G56" s="83"/>
      <x:c r="H56" s="83"/>
      <x:c r="I56" s="83" t="str">
        <x:f>IF(H56="","",IF(H56&gt;=9,"推荐者",IF(H56&gt;=7,"中立者","贬损者")))</x:f>
      </x:c>
      <x:c r="J56" s="83"/>
      <x:c r="K56" s="83"/>
      <x:c r="L56" s="83"/>
      <x:c r="M56" s="87"/>
    </x:row>
    <x:row r="57">
      <x:c r="A57" s="82"/>
      <x:c r="B57" s="83" t="str">
        <x:f>IFERROR(INDEX('学员台账'!$B$6:$B$25,MATCH(A57,'学员台账'!$A$6:$A$25,0)),"")</x:f>
      </x:c>
      <x:c r="C57" s="84"/>
      <x:c r="D57" s="83"/>
      <x:c r="E57" s="83"/>
      <x:c r="F57" s="83"/>
      <x:c r="G57" s="83"/>
      <x:c r="H57" s="83"/>
      <x:c r="I57" s="83" t="str">
        <x:f>IF(H57="","",IF(H57&gt;=9,"推荐者",IF(H57&gt;=7,"中立者","贬损者")))</x:f>
      </x:c>
      <x:c r="J57" s="83"/>
      <x:c r="K57" s="83"/>
      <x:c r="L57" s="83"/>
      <x:c r="M57" s="87"/>
    </x:row>
    <x:row r="58">
      <x:c r="A58" s="82"/>
      <x:c r="B58" s="83" t="str">
        <x:f>IFERROR(INDEX('学员台账'!$B$6:$B$25,MATCH(A58,'学员台账'!$A$6:$A$25,0)),"")</x:f>
      </x:c>
      <x:c r="C58" s="84"/>
      <x:c r="D58" s="83"/>
      <x:c r="E58" s="83"/>
      <x:c r="F58" s="83"/>
      <x:c r="G58" s="83"/>
      <x:c r="H58" s="83"/>
      <x:c r="I58" s="83" t="str">
        <x:f>IF(H58="","",IF(H58&gt;=9,"推荐者",IF(H58&gt;=7,"中立者","贬损者")))</x:f>
      </x:c>
      <x:c r="J58" s="83"/>
      <x:c r="K58" s="83"/>
      <x:c r="L58" s="83"/>
      <x:c r="M58" s="87"/>
    </x:row>
    <x:row r="59">
      <x:c r="A59" s="82"/>
      <x:c r="B59" s="83" t="str">
        <x:f>IFERROR(INDEX('学员台账'!$B$6:$B$25,MATCH(A59,'学员台账'!$A$6:$A$25,0)),"")</x:f>
      </x:c>
      <x:c r="C59" s="84"/>
      <x:c r="D59" s="83"/>
      <x:c r="E59" s="83"/>
      <x:c r="F59" s="83"/>
      <x:c r="G59" s="83"/>
      <x:c r="H59" s="83"/>
      <x:c r="I59" s="83" t="str">
        <x:f>IF(H59="","",IF(H59&gt;=9,"推荐者",IF(H59&gt;=7,"中立者","贬损者")))</x:f>
      </x:c>
      <x:c r="J59" s="83"/>
      <x:c r="K59" s="83"/>
      <x:c r="L59" s="83"/>
      <x:c r="M59" s="87"/>
    </x:row>
    <x:row r="60">
      <x:c r="A60" s="82"/>
      <x:c r="B60" s="83" t="str">
        <x:f>IFERROR(INDEX('学员台账'!$B$6:$B$25,MATCH(A60,'学员台账'!$A$6:$A$25,0)),"")</x:f>
      </x:c>
      <x:c r="C60" s="84"/>
      <x:c r="D60" s="83"/>
      <x:c r="E60" s="83"/>
      <x:c r="F60" s="83"/>
      <x:c r="G60" s="83"/>
      <x:c r="H60" s="83"/>
      <x:c r="I60" s="83" t="str">
        <x:f>IF(H60="","",IF(H60&gt;=9,"推荐者",IF(H60&gt;=7,"中立者","贬损者")))</x:f>
      </x:c>
      <x:c r="J60" s="83"/>
      <x:c r="K60" s="83"/>
      <x:c r="L60" s="83"/>
      <x:c r="M60" s="87"/>
    </x:row>
    <x:row r="61">
      <x:c r="A61" s="82"/>
      <x:c r="B61" s="83" t="str">
        <x:f>IFERROR(INDEX('学员台账'!$B$6:$B$25,MATCH(A61,'学员台账'!$A$6:$A$25,0)),"")</x:f>
      </x:c>
      <x:c r="C61" s="84"/>
      <x:c r="D61" s="83"/>
      <x:c r="E61" s="83"/>
      <x:c r="F61" s="83"/>
      <x:c r="G61" s="83"/>
      <x:c r="H61" s="83"/>
      <x:c r="I61" s="83" t="str">
        <x:f>IF(H61="","",IF(H61&gt;=9,"推荐者",IF(H61&gt;=7,"中立者","贬损者")))</x:f>
      </x:c>
      <x:c r="J61" s="83"/>
      <x:c r="K61" s="83"/>
      <x:c r="L61" s="83"/>
      <x:c r="M61" s="87"/>
    </x:row>
    <x:row r="62">
      <x:c r="A62" s="82"/>
      <x:c r="B62" s="83" t="str">
        <x:f>IFERROR(INDEX('学员台账'!$B$6:$B$25,MATCH(A62,'学员台账'!$A$6:$A$25,0)),"")</x:f>
      </x:c>
      <x:c r="C62" s="84"/>
      <x:c r="D62" s="83"/>
      <x:c r="E62" s="83"/>
      <x:c r="F62" s="83"/>
      <x:c r="G62" s="83"/>
      <x:c r="H62" s="83"/>
      <x:c r="I62" s="83" t="str">
        <x:f>IF(H62="","",IF(H62&gt;=9,"推荐者",IF(H62&gt;=7,"中立者","贬损者")))</x:f>
      </x:c>
      <x:c r="J62" s="83"/>
      <x:c r="K62" s="83"/>
      <x:c r="L62" s="83"/>
      <x:c r="M62" s="87"/>
    </x:row>
    <x:row r="63">
      <x:c r="A63" s="82"/>
      <x:c r="B63" s="83" t="str">
        <x:f>IFERROR(INDEX('学员台账'!$B$6:$B$25,MATCH(A63,'学员台账'!$A$6:$A$25,0)),"")</x:f>
      </x:c>
      <x:c r="C63" s="84"/>
      <x:c r="D63" s="83"/>
      <x:c r="E63" s="83"/>
      <x:c r="F63" s="83"/>
      <x:c r="G63" s="83"/>
      <x:c r="H63" s="83"/>
      <x:c r="I63" s="83" t="str">
        <x:f>IF(H63="","",IF(H63&gt;=9,"推荐者",IF(H63&gt;=7,"中立者","贬损者")))</x:f>
      </x:c>
      <x:c r="J63" s="83"/>
      <x:c r="K63" s="83"/>
      <x:c r="L63" s="83"/>
      <x:c r="M63" s="87"/>
    </x:row>
    <x:row r="64">
      <x:c r="A64" s="82"/>
      <x:c r="B64" s="83" t="str">
        <x:f>IFERROR(INDEX('学员台账'!$B$6:$B$25,MATCH(A64,'学员台账'!$A$6:$A$25,0)),"")</x:f>
      </x:c>
      <x:c r="C64" s="84"/>
      <x:c r="D64" s="83"/>
      <x:c r="E64" s="83"/>
      <x:c r="F64" s="83"/>
      <x:c r="G64" s="83"/>
      <x:c r="H64" s="83"/>
      <x:c r="I64" s="83" t="str">
        <x:f>IF(H64="","",IF(H64&gt;=9,"推荐者",IF(H64&gt;=7,"中立者","贬损者")))</x:f>
      </x:c>
      <x:c r="J64" s="83"/>
      <x:c r="K64" s="83"/>
      <x:c r="L64" s="83"/>
      <x:c r="M64" s="87"/>
    </x:row>
    <x:row r="65">
      <x:c r="A65" s="82"/>
      <x:c r="B65" s="83" t="str">
        <x:f>IFERROR(INDEX('学员台账'!$B$6:$B$25,MATCH(A65,'学员台账'!$A$6:$A$25,0)),"")</x:f>
      </x:c>
      <x:c r="C65" s="84"/>
      <x:c r="D65" s="83"/>
      <x:c r="E65" s="83"/>
      <x:c r="F65" s="83"/>
      <x:c r="G65" s="83"/>
      <x:c r="H65" s="83"/>
      <x:c r="I65" s="83" t="str">
        <x:f>IF(H65="","",IF(H65&gt;=9,"推荐者",IF(H65&gt;=7,"中立者","贬损者")))</x:f>
      </x:c>
      <x:c r="J65" s="83"/>
      <x:c r="K65" s="83"/>
      <x:c r="L65" s="83"/>
      <x:c r="M65" s="87"/>
    </x:row>
    <x:row r="66">
      <x:c r="A66" s="82"/>
      <x:c r="B66" s="83" t="str">
        <x:f>IFERROR(INDEX('学员台账'!$B$6:$B$25,MATCH(A66,'学员台账'!$A$6:$A$25,0)),"")</x:f>
      </x:c>
      <x:c r="C66" s="84"/>
      <x:c r="D66" s="83"/>
      <x:c r="E66" s="83"/>
      <x:c r="F66" s="83"/>
      <x:c r="G66" s="83"/>
      <x:c r="H66" s="83"/>
      <x:c r="I66" s="83" t="str">
        <x:f>IF(H66="","",IF(H66&gt;=9,"推荐者",IF(H66&gt;=7,"中立者","贬损者")))</x:f>
      </x:c>
      <x:c r="J66" s="83"/>
      <x:c r="K66" s="83"/>
      <x:c r="L66" s="83"/>
      <x:c r="M66" s="87"/>
    </x:row>
    <x:row r="67">
      <x:c r="A67" s="82"/>
      <x:c r="B67" s="83" t="str">
        <x:f>IFERROR(INDEX('学员台账'!$B$6:$B$25,MATCH(A67,'学员台账'!$A$6:$A$25,0)),"")</x:f>
      </x:c>
      <x:c r="C67" s="84"/>
      <x:c r="D67" s="83"/>
      <x:c r="E67" s="83"/>
      <x:c r="F67" s="83"/>
      <x:c r="G67" s="83"/>
      <x:c r="H67" s="83"/>
      <x:c r="I67" s="83" t="str">
        <x:f>IF(H67="","",IF(H67&gt;=9,"推荐者",IF(H67&gt;=7,"中立者","贬损者")))</x:f>
      </x:c>
      <x:c r="J67" s="83"/>
      <x:c r="K67" s="83"/>
      <x:c r="L67" s="83"/>
      <x:c r="M67" s="87"/>
    </x:row>
    <x:row r="68">
      <x:c r="A68" s="82"/>
      <x:c r="B68" s="83" t="str">
        <x:f>IFERROR(INDEX('学员台账'!$B$6:$B$25,MATCH(A68,'学员台账'!$A$6:$A$25,0)),"")</x:f>
      </x:c>
      <x:c r="C68" s="84"/>
      <x:c r="D68" s="83"/>
      <x:c r="E68" s="83"/>
      <x:c r="F68" s="83"/>
      <x:c r="G68" s="83"/>
      <x:c r="H68" s="83"/>
      <x:c r="I68" s="83" t="str">
        <x:f>IF(H68="","",IF(H68&gt;=9,"推荐者",IF(H68&gt;=7,"中立者","贬损者")))</x:f>
      </x:c>
      <x:c r="J68" s="83"/>
      <x:c r="K68" s="83"/>
      <x:c r="L68" s="83"/>
      <x:c r="M68" s="87"/>
    </x:row>
    <x:row r="69">
      <x:c r="A69" s="82"/>
      <x:c r="B69" s="83" t="str">
        <x:f>IFERROR(INDEX('学员台账'!$B$6:$B$25,MATCH(A69,'学员台账'!$A$6:$A$25,0)),"")</x:f>
      </x:c>
      <x:c r="C69" s="84"/>
      <x:c r="D69" s="83"/>
      <x:c r="E69" s="83"/>
      <x:c r="F69" s="83"/>
      <x:c r="G69" s="83"/>
      <x:c r="H69" s="83"/>
      <x:c r="I69" s="83" t="str">
        <x:f>IF(H69="","",IF(H69&gt;=9,"推荐者",IF(H69&gt;=7,"中立者","贬损者")))</x:f>
      </x:c>
      <x:c r="J69" s="83"/>
      <x:c r="K69" s="83"/>
      <x:c r="L69" s="83"/>
      <x:c r="M69" s="87"/>
    </x:row>
    <x:row r="70">
      <x:c r="A70" s="82"/>
      <x:c r="B70" s="83" t="str">
        <x:f>IFERROR(INDEX('学员台账'!$B$6:$B$25,MATCH(A70,'学员台账'!$A$6:$A$25,0)),"")</x:f>
      </x:c>
      <x:c r="C70" s="84"/>
      <x:c r="D70" s="83"/>
      <x:c r="E70" s="83"/>
      <x:c r="F70" s="83"/>
      <x:c r="G70" s="83"/>
      <x:c r="H70" s="83"/>
      <x:c r="I70" s="83" t="str">
        <x:f>IF(H70="","",IF(H70&gt;=9,"推荐者",IF(H70&gt;=7,"中立者","贬损者")))</x:f>
      </x:c>
      <x:c r="J70" s="83"/>
      <x:c r="K70" s="83"/>
      <x:c r="L70" s="83"/>
      <x:c r="M70" s="87"/>
    </x:row>
    <x:row r="71">
      <x:c r="A71" s="82"/>
      <x:c r="B71" s="83" t="str">
        <x:f>IFERROR(INDEX('学员台账'!$B$6:$B$25,MATCH(A71,'学员台账'!$A$6:$A$25,0)),"")</x:f>
      </x:c>
      <x:c r="C71" s="84"/>
      <x:c r="D71" s="83"/>
      <x:c r="E71" s="83"/>
      <x:c r="F71" s="83"/>
      <x:c r="G71" s="83"/>
      <x:c r="H71" s="83"/>
      <x:c r="I71" s="83" t="str">
        <x:f>IF(H71="","",IF(H71&gt;=9,"推荐者",IF(H71&gt;=7,"中立者","贬损者")))</x:f>
      </x:c>
      <x:c r="J71" s="83"/>
      <x:c r="K71" s="83"/>
      <x:c r="L71" s="83"/>
      <x:c r="M71" s="87"/>
    </x:row>
    <x:row r="72">
      <x:c r="A72" s="82"/>
      <x:c r="B72" s="83" t="str">
        <x:f>IFERROR(INDEX('学员台账'!$B$6:$B$25,MATCH(A72,'学员台账'!$A$6:$A$25,0)),"")</x:f>
      </x:c>
      <x:c r="C72" s="84"/>
      <x:c r="D72" s="83"/>
      <x:c r="E72" s="83"/>
      <x:c r="F72" s="83"/>
      <x:c r="G72" s="83"/>
      <x:c r="H72" s="83"/>
      <x:c r="I72" s="83" t="str">
        <x:f>IF(H72="","",IF(H72&gt;=9,"推荐者",IF(H72&gt;=7,"中立者","贬损者")))</x:f>
      </x:c>
      <x:c r="J72" s="83"/>
      <x:c r="K72" s="83"/>
      <x:c r="L72" s="83"/>
      <x:c r="M72" s="87"/>
    </x:row>
    <x:row r="73">
      <x:c r="A73" s="82"/>
      <x:c r="B73" s="83" t="str">
        <x:f>IFERROR(INDEX('学员台账'!$B$6:$B$25,MATCH(A73,'学员台账'!$A$6:$A$25,0)),"")</x:f>
      </x:c>
      <x:c r="C73" s="84"/>
      <x:c r="D73" s="83"/>
      <x:c r="E73" s="83"/>
      <x:c r="F73" s="83"/>
      <x:c r="G73" s="83"/>
      <x:c r="H73" s="83"/>
      <x:c r="I73" s="83" t="str">
        <x:f>IF(H73="","",IF(H73&gt;=9,"推荐者",IF(H73&gt;=7,"中立者","贬损者")))</x:f>
      </x:c>
      <x:c r="J73" s="83"/>
      <x:c r="K73" s="83"/>
      <x:c r="L73" s="83"/>
      <x:c r="M73" s="87"/>
    </x:row>
    <x:row r="74">
      <x:c r="A74" s="82"/>
      <x:c r="B74" s="83" t="str">
        <x:f>IFERROR(INDEX('学员台账'!$B$6:$B$25,MATCH(A74,'学员台账'!$A$6:$A$25,0)),"")</x:f>
      </x:c>
      <x:c r="C74" s="84"/>
      <x:c r="D74" s="83"/>
      <x:c r="E74" s="83"/>
      <x:c r="F74" s="83"/>
      <x:c r="G74" s="83"/>
      <x:c r="H74" s="83"/>
      <x:c r="I74" s="83" t="str">
        <x:f>IF(H74="","",IF(H74&gt;=9,"推荐者",IF(H74&gt;=7,"中立者","贬损者")))</x:f>
      </x:c>
      <x:c r="J74" s="83"/>
      <x:c r="K74" s="83"/>
      <x:c r="L74" s="83"/>
      <x:c r="M74" s="87"/>
    </x:row>
    <x:row r="75">
      <x:c r="A75" s="82"/>
      <x:c r="B75" s="83" t="str">
        <x:f>IFERROR(INDEX('学员台账'!$B$6:$B$25,MATCH(A75,'学员台账'!$A$6:$A$25,0)),"")</x:f>
      </x:c>
      <x:c r="C75" s="84"/>
      <x:c r="D75" s="83"/>
      <x:c r="E75" s="83"/>
      <x:c r="F75" s="83"/>
      <x:c r="G75" s="83"/>
      <x:c r="H75" s="83"/>
      <x:c r="I75" s="83" t="str">
        <x:f>IF(H75="","",IF(H75&gt;=9,"推荐者",IF(H75&gt;=7,"中立者","贬损者")))</x:f>
      </x:c>
      <x:c r="J75" s="83"/>
      <x:c r="K75" s="83"/>
      <x:c r="L75" s="83"/>
      <x:c r="M75" s="87"/>
    </x:row>
    <x:row r="76">
      <x:c r="A76" s="82"/>
      <x:c r="B76" s="83" t="str">
        <x:f>IFERROR(INDEX('学员台账'!$B$6:$B$25,MATCH(A76,'学员台账'!$A$6:$A$25,0)),"")</x:f>
      </x:c>
      <x:c r="C76" s="84"/>
      <x:c r="D76" s="83"/>
      <x:c r="E76" s="83"/>
      <x:c r="F76" s="83"/>
      <x:c r="G76" s="83"/>
      <x:c r="H76" s="83"/>
      <x:c r="I76" s="83" t="str">
        <x:f>IF(H76="","",IF(H76&gt;=9,"推荐者",IF(H76&gt;=7,"中立者","贬损者")))</x:f>
      </x:c>
      <x:c r="J76" s="83"/>
      <x:c r="K76" s="83"/>
      <x:c r="L76" s="83"/>
      <x:c r="M76" s="87"/>
    </x:row>
    <x:row r="77">
      <x:c r="A77" s="82"/>
      <x:c r="B77" s="83" t="str">
        <x:f>IFERROR(INDEX('学员台账'!$B$6:$B$25,MATCH(A77,'学员台账'!$A$6:$A$25,0)),"")</x:f>
      </x:c>
      <x:c r="C77" s="84"/>
      <x:c r="D77" s="83"/>
      <x:c r="E77" s="83"/>
      <x:c r="F77" s="83"/>
      <x:c r="G77" s="83"/>
      <x:c r="H77" s="83"/>
      <x:c r="I77" s="83" t="str">
        <x:f>IF(H77="","",IF(H77&gt;=9,"推荐者",IF(H77&gt;=7,"中立者","贬损者")))</x:f>
      </x:c>
      <x:c r="J77" s="83"/>
      <x:c r="K77" s="83"/>
      <x:c r="L77" s="83"/>
      <x:c r="M77" s="87"/>
    </x:row>
    <x:row r="78">
      <x:c r="A78" s="82"/>
      <x:c r="B78" s="83" t="str">
        <x:f>IFERROR(INDEX('学员台账'!$B$6:$B$25,MATCH(A78,'学员台账'!$A$6:$A$25,0)),"")</x:f>
      </x:c>
      <x:c r="C78" s="84"/>
      <x:c r="D78" s="83"/>
      <x:c r="E78" s="83"/>
      <x:c r="F78" s="83"/>
      <x:c r="G78" s="83"/>
      <x:c r="H78" s="83"/>
      <x:c r="I78" s="83" t="str">
        <x:f>IF(H78="","",IF(H78&gt;=9,"推荐者",IF(H78&gt;=7,"中立者","贬损者")))</x:f>
      </x:c>
      <x:c r="J78" s="83"/>
      <x:c r="K78" s="83"/>
      <x:c r="L78" s="83"/>
      <x:c r="M78" s="87"/>
    </x:row>
    <x:row r="79">
      <x:c r="A79" s="82"/>
      <x:c r="B79" s="83" t="str">
        <x:f>IFERROR(INDEX('学员台账'!$B$6:$B$25,MATCH(A79,'学员台账'!$A$6:$A$25,0)),"")</x:f>
      </x:c>
      <x:c r="C79" s="84"/>
      <x:c r="D79" s="83"/>
      <x:c r="E79" s="83"/>
      <x:c r="F79" s="83"/>
      <x:c r="G79" s="83"/>
      <x:c r="H79" s="83"/>
      <x:c r="I79" s="83" t="str">
        <x:f>IF(H79="","",IF(H79&gt;=9,"推荐者",IF(H79&gt;=7,"中立者","贬损者")))</x:f>
      </x:c>
      <x:c r="J79" s="83"/>
      <x:c r="K79" s="83"/>
      <x:c r="L79" s="83"/>
      <x:c r="M79" s="87"/>
    </x:row>
    <x:row r="80">
      <x:c r="A80" s="82"/>
      <x:c r="B80" s="83" t="str">
        <x:f>IFERROR(INDEX('学员台账'!$B$6:$B$25,MATCH(A80,'学员台账'!$A$6:$A$25,0)),"")</x:f>
      </x:c>
      <x:c r="C80" s="84"/>
      <x:c r="D80" s="83"/>
      <x:c r="E80" s="83"/>
      <x:c r="F80" s="83"/>
      <x:c r="G80" s="83"/>
      <x:c r="H80" s="83"/>
      <x:c r="I80" s="83" t="str">
        <x:f>IF(H80="","",IF(H80&gt;=9,"推荐者",IF(H80&gt;=7,"中立者","贬损者")))</x:f>
      </x:c>
      <x:c r="J80" s="83"/>
      <x:c r="K80" s="83"/>
      <x:c r="L80" s="83"/>
      <x:c r="M80" s="87"/>
    </x:row>
    <x:row r="81">
      <x:c r="A81" s="82"/>
      <x:c r="B81" s="83" t="str">
        <x:f>IFERROR(INDEX('学员台账'!$B$6:$B$25,MATCH(A81,'学员台账'!$A$6:$A$25,0)),"")</x:f>
      </x:c>
      <x:c r="C81" s="84"/>
      <x:c r="D81" s="83"/>
      <x:c r="E81" s="83"/>
      <x:c r="F81" s="83"/>
      <x:c r="G81" s="83"/>
      <x:c r="H81" s="83"/>
      <x:c r="I81" s="83" t="str">
        <x:f>IF(H81="","",IF(H81&gt;=9,"推荐者",IF(H81&gt;=7,"中立者","贬损者")))</x:f>
      </x:c>
      <x:c r="J81" s="83"/>
      <x:c r="K81" s="83"/>
      <x:c r="L81" s="83"/>
      <x:c r="M81" s="87"/>
    </x:row>
    <x:row r="82">
      <x:c r="A82" s="82"/>
      <x:c r="B82" s="83" t="str">
        <x:f>IFERROR(INDEX('学员台账'!$B$6:$B$25,MATCH(A82,'学员台账'!$A$6:$A$25,0)),"")</x:f>
      </x:c>
      <x:c r="C82" s="84"/>
      <x:c r="D82" s="83"/>
      <x:c r="E82" s="83"/>
      <x:c r="F82" s="83"/>
      <x:c r="G82" s="83"/>
      <x:c r="H82" s="83"/>
      <x:c r="I82" s="83" t="str">
        <x:f>IF(H82="","",IF(H82&gt;=9,"推荐者",IF(H82&gt;=7,"中立者","贬损者")))</x:f>
      </x:c>
      <x:c r="J82" s="83"/>
      <x:c r="K82" s="83"/>
      <x:c r="L82" s="83"/>
      <x:c r="M82" s="87"/>
    </x:row>
    <x:row r="83">
      <x:c r="A83" s="82"/>
      <x:c r="B83" s="83" t="str">
        <x:f>IFERROR(INDEX('学员台账'!$B$6:$B$25,MATCH(A83,'学员台账'!$A$6:$A$25,0)),"")</x:f>
      </x:c>
      <x:c r="C83" s="84"/>
      <x:c r="D83" s="83"/>
      <x:c r="E83" s="83"/>
      <x:c r="F83" s="83"/>
      <x:c r="G83" s="83"/>
      <x:c r="H83" s="83"/>
      <x:c r="I83" s="83" t="str">
        <x:f>IF(H83="","",IF(H83&gt;=9,"推荐者",IF(H83&gt;=7,"中立者","贬损者")))</x:f>
      </x:c>
      <x:c r="J83" s="83"/>
      <x:c r="K83" s="83"/>
      <x:c r="L83" s="83"/>
      <x:c r="M83" s="87"/>
    </x:row>
    <x:row r="84">
      <x:c r="A84" s="82"/>
      <x:c r="B84" s="83" t="str">
        <x:f>IFERROR(INDEX('学员台账'!$B$6:$B$25,MATCH(A84,'学员台账'!$A$6:$A$25,0)),"")</x:f>
      </x:c>
      <x:c r="C84" s="84"/>
      <x:c r="D84" s="83"/>
      <x:c r="E84" s="83"/>
      <x:c r="F84" s="83"/>
      <x:c r="G84" s="83"/>
      <x:c r="H84" s="83"/>
      <x:c r="I84" s="83" t="str">
        <x:f>IF(H84="","",IF(H84&gt;=9,"推荐者",IF(H84&gt;=7,"中立者","贬损者")))</x:f>
      </x:c>
      <x:c r="J84" s="83"/>
      <x:c r="K84" s="83"/>
      <x:c r="L84" s="83"/>
      <x:c r="M84" s="87"/>
    </x:row>
    <x:row r="85">
      <x:c r="A85" s="88"/>
      <x:c r="B85" s="89" t="str">
        <x:f>IFERROR(INDEX('学员台账'!$B$6:$B$25,MATCH(A85,'学员台账'!$A$6:$A$25,0)),"")</x:f>
      </x:c>
      <x:c r="C85" s="90"/>
      <x:c r="D85" s="89"/>
      <x:c r="E85" s="89"/>
      <x:c r="F85" s="89"/>
      <x:c r="G85" s="89"/>
      <x:c r="H85" s="89"/>
      <x:c r="I85" s="89" t="str">
        <x:f>IF(H85="","",IF(H85&gt;=9,"推荐者",IF(H85&gt;=7,"中立者","贬损者")))</x:f>
      </x:c>
      <x:c r="J85" s="89"/>
      <x:c r="K85" s="89"/>
      <x:c r="L85" s="89"/>
      <x:c r="M85" s="93"/>
    </x:row>
  </x:sheetData>
  <x:mergeCells>
    <x:mergeCell ref="A1:M2"/>
    <x:mergeCell ref="A3:M3"/>
  </x:mergeCells>
  <x:conditionalFormatting sqref="I6:I85">
    <x:cfRule type="containsText" dxfId="3" priority="1" operator="containsText" text="推荐者"/>
    <x:cfRule type="containsText" dxfId="4" priority="2" operator="containsText" text="贬损者"/>
  </x:conditionalFormatting>
  <x:dataValidations count="4">
    <x:dataValidation type="whole" operator="between" sqref="E6:E85">
      <x:formula1>0</x:formula1>
      <x:formula2>10</x:formula2>
    </x:dataValidation>
    <x:dataValidation type="whole" operator="between" sqref="H6:H85">
      <x:formula1>0</x:formula1>
      <x:formula2>10</x:formula2>
    </x:dataValidation>
    <x:dataValidation type="list" sqref="D6:D85">
      <x:formula1>"启动前,第2周,第6周,结营"</x:formula1>
    </x:dataValidation>
    <x:dataValidation type="list" sqref="J6:J85">
      <x:formula1>"愿意,观望,不愿意"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d5073e51384e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" hidden="0" customWidth="1"/>
    <x:col min="4" max="4" width="18" hidden="0" customWidth="1"/>
    <x:col min="5" max="5" width="45" hidden="0" customWidth="1"/>
    <x:col min="6" max="6" width="3" hidden="0" customWidth="1"/>
    <x:col min="7" max="7" width="10" hidden="0" customWidth="1"/>
    <x:col min="8" max="8" width="48" hidden="0" customWidth="1"/>
  </x:cols>
  <x:sheetData>
    <x:row r="1" ht="42" customHeight="1">
      <x:c r="A1" s="4" t="str">
        <x:v>试点口径与设置</x:v>
      </x:c>
      <x:c r="B1" s="4" t="str">
        <x:v>试点口径与设置</x:v>
      </x:c>
      <x:c r="C1" s="4" t="str">
        <x:v>试点口径与设置</x:v>
      </x:c>
      <x:c r="D1" s="4" t="str">
        <x:v>试点口径与设置</x:v>
      </x:c>
      <x:c r="E1" s="4" t="str">
        <x:v>试点口径与设置</x:v>
      </x:c>
      <x:c r="F1" s="4" t="str">
        <x:v>试点口径与设置</x:v>
      </x:c>
      <x:c r="G1" s="4" t="str">
        <x:v>试点口径与设置</x:v>
      </x:c>
      <x:c r="H1" s="4" t="str">
        <x:v>试点口径与设置</x:v>
      </x:c>
    </x:row>
    <x:row r="2" ht="42" customHeight="1">
      <x:c r="A2" s="4" t="str">
        <x:v>试点口径与设置</x:v>
      </x:c>
      <x:c r="B2" s="4" t="str">
        <x:v>试点口径与设置</x:v>
      </x:c>
      <x:c r="C2" s="4" t="str">
        <x:v>试点口径与设置</x:v>
      </x:c>
      <x:c r="D2" s="4" t="str">
        <x:v>试点口径与设置</x:v>
      </x:c>
      <x:c r="E2" s="4" t="str">
        <x:v>试点口径与设置</x:v>
      </x:c>
      <x:c r="F2" s="4" t="str">
        <x:v>试点口径与设置</x:v>
      </x:c>
      <x:c r="G2" s="4" t="str">
        <x:v>试点口径与设置</x:v>
      </x:c>
      <x:c r="H2" s="4" t="str">
        <x:v>试点口径与设置</x:v>
      </x:c>
    </x:row>
    <x:row r="3" ht="30" customHeight="1">
      <x:c r="A3" s="8" t="str">
        <x:v>黄色单元格可编辑；总览、目标和风险判断均引用这里的口径。修改目标后看板会自动更新。</x:v>
      </x:c>
      <x:c r="B3" s="8" t="str">
        <x:v>黄色单元格可编辑；总览、目标和风险判断均引用这里的口径。修改目标后看板会自动更新。</x:v>
      </x:c>
      <x:c r="C3" s="8" t="str">
        <x:v>黄色单元格可编辑；总览、目标和风险判断均引用这里的口径。修改目标后看板会自动更新。</x:v>
      </x:c>
      <x:c r="D3" s="8" t="str">
        <x:v>黄色单元格可编辑；总览、目标和风险判断均引用这里的口径。修改目标后看板会自动更新。</x:v>
      </x:c>
      <x:c r="E3" s="8" t="str">
        <x:v>黄色单元格可编辑；总览、目标和风险判断均引用这里的口径。修改目标后看板会自动更新。</x:v>
      </x:c>
      <x:c r="F3" s="8" t="str">
        <x:v>黄色单元格可编辑；总览、目标和风险判断均引用这里的口径。修改目标后看板会自动更新。</x:v>
      </x:c>
      <x:c r="G3" s="8" t="str">
        <x:v>黄色单元格可编辑；总览、目标和风险判断均引用这里的口径。修改目标后看板会自动更新。</x:v>
      </x:c>
      <x:c r="H3" s="8" t="str">
        <x:v>黄色单元格可编辑；总览、目标和风险判断均引用这里的口径。修改目标后看板会自动更新。</x:v>
      </x:c>
    </x:row>
    <x:row r="5" ht="30" customHeight="1">
      <x:c r="A5" s="17" t="str">
        <x:v>设置项</x:v>
      </x:c>
      <x:c r="B5" s="18" t="str">
        <x:v>当前值</x:v>
      </x:c>
      <x:c r="D5" s="17" t="str">
        <x:v>字段</x:v>
      </x:c>
      <x:c r="E5" s="18" t="str">
        <x:v>允许值 / 计算口径</x:v>
      </x:c>
      <x:c r="G5" s="17" t="str">
        <x:v>使用步骤</x:v>
      </x:c>
      <x:c r="H5" s="18" t="str">
        <x:v>动作</x:v>
      </x:c>
    </x:row>
    <x:row r="6">
      <x:c r="A6" s="20" t="str">
        <x:v>试点名称</x:v>
      </x:c>
      <x:c r="B6" s="23" t="str">
        <x:v>夸夸学习 AI 首批中文试点</x:v>
      </x:c>
      <x:c r="D6" s="28" t="str">
        <x:v>学员状态</x:v>
      </x:c>
      <x:c r="E6" s="30" t="str">
        <x:v>待联系、已报名、已启动、进行中、已完成、已退出</x:v>
      </x:c>
      <x:c r="G6" s="32" t="n">
        <x:v>1</x:v>
      </x:c>
      <x:c r="H6" s="30" t="str">
        <x:v>先在学员台账录入报名者，并分配唯一学员 ID。</x:v>
      </x:c>
    </x:row>
    <x:row r="7">
      <x:c r="A7" s="20" t="str">
        <x:v>计划开始日</x:v>
      </x:c>
      <x:c r="B7" s="26" t="n">
        <x:v>46251</x:v>
      </x:c>
      <x:c r="D7" s="28" t="str">
        <x:v>风险等级</x:v>
      </x:c>
      <x:c r="E7" s="30" t="str">
        <x:v>最近活跃 &gt;7 天为高；4–7 天为中；0–3 天为低</x:v>
      </x:c>
      <x:c r="G7" s="32" t="n">
        <x:v>2</x:v>
      </x:c>
      <x:c r="H7" s="30" t="str">
        <x:v>每周在周度记录中粘贴学员 ID，填计划课节和证据数据。</x:v>
      </x:c>
    </x:row>
    <x:row r="8">
      <x:c r="A8" s="20" t="str">
        <x:v>计划招募人数</x:v>
      </x:c>
      <x:c r="B8" s="24" t="n">
        <x:v>20</x:v>
      </x:c>
      <x:c r="D8" s="28" t="str">
        <x:v>付费意向</x:v>
      </x:c>
      <x:c r="E8" s="30" t="str">
        <x:v>愿意、观望、不愿意、未访谈</x:v>
      </x:c>
      <x:c r="G8" s="32" t="n">
        <x:v>3</x:v>
      </x:c>
      <x:c r="H8" s="30" t="str">
        <x:v>重点访谈至少放在启动前、第 2 周和结营三个节点。</x:v>
      </x:c>
    </x:row>
    <x:row r="9">
      <x:c r="A9" s="20" t="str">
        <x:v>目标启动人数</x:v>
      </x:c>
      <x:c r="B9" s="24" t="n">
        <x:v>15</x:v>
      </x:c>
      <x:c r="D9" s="28" t="str">
        <x:v>访谈阶段</x:v>
      </x:c>
      <x:c r="E9" s="30" t="str">
        <x:v>启动前、第2周、第6周、结营</x:v>
      </x:c>
      <x:c r="G9" s="32" t="n">
        <x:v>4</x:v>
      </x:c>
      <x:c r="H9" s="30" t="str">
        <x:v>每周看总览中的证据率、风险人数和目标差距。</x:v>
      </x:c>
    </x:row>
    <x:row r="10">
      <x:c r="A10" s="20" t="str">
        <x:v>目标完成人数</x:v>
      </x:c>
      <x:c r="B10" s="24" t="n">
        <x:v>12</x:v>
      </x:c>
      <x:c r="D10" s="28" t="str">
        <x:v>NPS 分类</x:v>
      </x:c>
      <x:c r="E10" s="30" t="str">
        <x:v>9–10 推荐者；7–8 中立者；0–6 贬损者</x:v>
      </x:c>
      <x:c r="G10" s="32" t="n">
        <x:v>5</x:v>
      </x:c>
      <x:c r="H10" s="30" t="str">
        <x:v>高风险学员 48 小时内联系，并把动作写回周度记录。</x:v>
      </x:c>
    </x:row>
    <x:row r="11">
      <x:c r="A11" s="20" t="str">
        <x:v>目标证据提交率</x:v>
      </x:c>
      <x:c r="B11" s="27" t="n">
        <x:v>0.8</x:v>
      </x:c>
      <x:c r="D11" s="28" t="str">
        <x:v>证据提交率</x:v>
      </x:c>
      <x:c r="E11" s="30" t="str">
        <x:v>合格证据数 ÷ 计划课节数</x:v>
      </x:c>
      <x:c r="G11" s="32" t="n">
        <x:v>6</x:v>
      </x:c>
      <x:c r="H11" s="30" t="str">
        <x:v>结营时只把有真实作品证据的课节计入完成。</x:v>
      </x:c>
    </x:row>
    <x:row r="12">
      <x:c r="A12" s="20" t="str">
        <x:v>目标平均体验分</x:v>
      </x:c>
      <x:c r="B12" s="24" t="n">
        <x:v>8</x:v>
      </x:c>
      <x:c r="D12" s="28" t="str">
        <x:v>完成率</x:v>
      </x:c>
      <x:c r="E12" s="30" t="str">
        <x:v>已完成课节数 ÷ 32</x:v>
      </x:c>
      <x:c r="G12" s="32" t="n">
        <x:v>7</x:v>
      </x:c>
      <x:c r="H12" s="30" t="str">
        <x:v>正式运营前不要在本文件记录敏感个人信息。</x:v>
      </x:c>
    </x:row>
    <x:row r="13">
      <x:c r="A13" s="20" t="str">
        <x:v>目标付费意向率</x:v>
      </x:c>
      <x:c r="B13" s="27" t="n">
        <x:v>0.3</x:v>
      </x:c>
    </x:row>
    <x:row r="14">
      <x:c r="A14" s="20" t="str">
        <x:v>最低合格证据字符</x:v>
      </x:c>
      <x:c r="B14" s="24" t="n">
        <x:v>20</x:v>
      </x:c>
    </x:row>
    <x:row r="15">
      <x:c r="A15" s="20" t="str">
        <x:v>课程总课节</x:v>
      </x:c>
      <x:c r="B15" s="25" t="n">
        <x:v>32</x:v>
      </x:c>
    </x:row>
  </x:sheetData>
  <x:mergeCells>
    <x:mergeCell ref="A1:H2"/>
    <x:mergeCell ref="A3:H3"/>
  </x:mergeCells>
  <x:pageMargins left="0.7" right="0.7" top="0.75" bottom="0.75" header="0.3" footer="0.3"/>
</x:worksheet>
</file>